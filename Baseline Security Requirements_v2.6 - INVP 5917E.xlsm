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comments19.xml" ContentType="application/vnd.openxmlformats-officedocument.spreadsheetml.comments+xml"/>
  <Override PartName="/xl/threadedComments/threadedComment19.xml" ContentType="application/vnd.ms-excel.threadedcomments+xml"/>
  <Override PartName="/xl/comments20.xml" ContentType="application/vnd.openxmlformats-officedocument.spreadsheetml.comments+xml"/>
  <Override PartName="/xl/threadedComments/threadedComment20.xml" ContentType="application/vnd.ms-excel.threadedcomments+xml"/>
  <Override PartName="/xl/comments21.xml" ContentType="application/vnd.openxmlformats-officedocument.spreadsheetml.comments+xml"/>
  <Override PartName="/xl/threadedComments/threadedComment21.xml" ContentType="application/vnd.ms-excel.threadedcomments+xml"/>
  <Override PartName="/xl/comments22.xml" ContentType="application/vnd.openxmlformats-officedocument.spreadsheetml.comments+xml"/>
  <Override PartName="/xl/threadedComments/threadedComment22.xml" ContentType="application/vnd.ms-excel.threaded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arshi\OneDrive - National Grid\INVP 5917E MDM Project\Requirements Documents\"/>
    </mc:Choice>
  </mc:AlternateContent>
  <xr:revisionPtr revIDLastSave="1602" documentId="13_ncr:1_{92BAEB4F-E5BF-4F45-A868-24B2D05FD752}" xr6:coauthVersionLast="41" xr6:coauthVersionMax="46" xr10:uidLastSave="{7E2F59FB-F0E8-48CF-AF40-B9F4BE3D19D3}"/>
  <bookViews>
    <workbookView xWindow="-120" yWindow="-120" windowWidth="29040" windowHeight="15840" tabRatio="811" firstSheet="1" activeTab="18" xr2:uid="{00000000-000D-0000-FFFF-FFFF00000000}"/>
  </bookViews>
  <sheets>
    <sheet name="Instructions" sheetId="11" r:id="rId1"/>
    <sheet name="General Information" sheetId="1" r:id="rId2"/>
    <sheet name="End User Devices BSRs (L)" sheetId="4" state="hidden" r:id="rId3"/>
    <sheet name="Server BSRs (L)" sheetId="3" state="hidden" r:id="rId4"/>
    <sheet name="Application BSRs (L)" sheetId="5" state="hidden" r:id="rId5"/>
    <sheet name="Saas - PaaS BSRs (L)" sheetId="6" state="hidden" r:id="rId6"/>
    <sheet name="Network Security BSRs (L)" sheetId="8" state="hidden" r:id="rId7"/>
    <sheet name="End User Devices BSRs (M)" sheetId="16" state="hidden" r:id="rId8"/>
    <sheet name="Server BSRs (M)" sheetId="15" state="hidden" r:id="rId9"/>
    <sheet name="Application BSRs (M)" sheetId="17" state="hidden" r:id="rId10"/>
    <sheet name="Saas - PaaS BSRs (M)" sheetId="18" state="hidden" r:id="rId11"/>
    <sheet name="Network Security BSRs (M)" sheetId="19" state="hidden" r:id="rId12"/>
    <sheet name="Software Development BSRs (M)" sheetId="20" state="hidden" r:id="rId13"/>
    <sheet name="Server BSRs (H)" sheetId="21" state="hidden" r:id="rId14"/>
    <sheet name="End User Devices BSRs (H)" sheetId="22" state="hidden" r:id="rId15"/>
    <sheet name="Variables" sheetId="2" state="hidden" r:id="rId16"/>
    <sheet name="Data Processing" sheetId="12" state="hidden" r:id="rId17"/>
    <sheet name="Application BSRs (H)" sheetId="23" state="hidden" r:id="rId18"/>
    <sheet name="Saas - PaaS BSRs (H)" sheetId="24" r:id="rId19"/>
    <sheet name="Network Security BSRs (H)" sheetId="25" r:id="rId20"/>
    <sheet name="Software Development BSRs (L)" sheetId="13" state="hidden" r:id="rId21"/>
    <sheet name="Autonomous Devices (H)" sheetId="27" state="hidden" r:id="rId22"/>
    <sheet name="Autonomous Devices (M)" sheetId="28" state="hidden" r:id="rId23"/>
    <sheet name="Autonomous Devices (L)" sheetId="30" state="hidden" r:id="rId24"/>
    <sheet name="Pattern" sheetId="14" r:id="rId25"/>
    <sheet name="Revision" sheetId="10" r:id="rId26"/>
    <sheet name="Software Development BSRs (H)" sheetId="26" state="hidden" r:id="rId27"/>
    <sheet name="Control Sheet" sheetId="31" r:id="rId28"/>
  </sheets>
  <externalReferences>
    <externalReference r:id="rId29"/>
    <externalReference r:id="rId30"/>
  </externalReferences>
  <definedNames>
    <definedName name="_xlnm._FilterDatabase" localSheetId="27">'Control Sheet'!$A$2:$I$46</definedName>
    <definedName name="ApplicationTab">'General Information'!$F$52</definedName>
    <definedName name="ApplicationTotalH1">'Application BSRs (H)'!$F$29</definedName>
    <definedName name="ApplicationTotalH10">'Application BSRs (H)'!$G$33</definedName>
    <definedName name="ApplicationTotalH2">'Application BSRs (H)'!$F$30</definedName>
    <definedName name="ApplicationTotalH3">'Application BSRs (H)'!$F$31</definedName>
    <definedName name="ApplicationTotalH4">'Application BSRs (H)'!$F$32</definedName>
    <definedName name="ApplicationTotalH5">'Application BSRs (H)'!$F$33</definedName>
    <definedName name="ApplicationTotalH6">'Application BSRs (H)'!$G$29</definedName>
    <definedName name="ApplicationTotalH7">'Application BSRs (H)'!$G$30</definedName>
    <definedName name="ApplicationTotalH8">'Application BSRs (H)'!$G$31</definedName>
    <definedName name="ApplicationTotalH9">'Application BSRs (H)'!$G$32</definedName>
    <definedName name="ApplicationTotalL1">'Application BSRs (L)'!$F$29</definedName>
    <definedName name="ApplicationTotalL10">'Application BSRs (L)'!$G$33</definedName>
    <definedName name="ApplicationTotalL2">'Application BSRs (L)'!$F$30</definedName>
    <definedName name="ApplicationTotalL3">'Application BSRs (L)'!$F$31</definedName>
    <definedName name="ApplicationTotalL4">'Application BSRs (L)'!$F$32</definedName>
    <definedName name="ApplicationTotalL5">'Application BSRs (L)'!$F$33</definedName>
    <definedName name="ApplicationTotalL6">'Application BSRs (L)'!$G$29</definedName>
    <definedName name="ApplicationTotalL7">'Application BSRs (L)'!$G$30</definedName>
    <definedName name="ApplicationTotalL8">'Application BSRs (L)'!$G$31</definedName>
    <definedName name="ApplicationTotalL9">'Application BSRs (L)'!$G$32</definedName>
    <definedName name="ApplicationTotalM1">'Application BSRs (M)'!$F$29</definedName>
    <definedName name="ApplicationTotalM10">'Application BSRs (M)'!$G$33</definedName>
    <definedName name="ApplicationTotalM2">'Application BSRs (M)'!$F$30</definedName>
    <definedName name="ApplicationTotalM3">'Application BSRs (M)'!$F$31</definedName>
    <definedName name="ApplicationTotalM4">'Application BSRs (M)'!$F$32</definedName>
    <definedName name="ApplicationTotalM5">'Application BSRs (M)'!$F$33</definedName>
    <definedName name="ApplicationTotalM6">'Application BSRs (M)'!$G$29</definedName>
    <definedName name="ApplicationTotalM7">'Application BSRs (M)'!$G$30</definedName>
    <definedName name="ApplicationTotalM8">'Application BSRs (M)'!$G$31</definedName>
    <definedName name="ApplicationTotalM9">'Application BSRs (M)'!$G$32</definedName>
    <definedName name="AutonomousTab">'General Information'!$F$56</definedName>
    <definedName name="AutonomousTotalH1">'Autonomous Devices (H)'!$F$19</definedName>
    <definedName name="AutonomousTotalH10">'Autonomous Devices (H)'!$G$23</definedName>
    <definedName name="AutonomousTotalH2">'Autonomous Devices (H)'!$F$20</definedName>
    <definedName name="AutonomousTotalH3">'Autonomous Devices (H)'!$F$21</definedName>
    <definedName name="AutonomousTotalH4">'Autonomous Devices (H)'!$F$22</definedName>
    <definedName name="AutonomousTotalH5">'Autonomous Devices (H)'!$F$23</definedName>
    <definedName name="AutonomousTotalH6">'Autonomous Devices (H)'!$G$19</definedName>
    <definedName name="AutonomousTotalH7">'Autonomous Devices (H)'!$G$20</definedName>
    <definedName name="AutonomousTotalH8">'Autonomous Devices (H)'!$G$21</definedName>
    <definedName name="AutonomousTotalH9">'Autonomous Devices (H)'!$G$22</definedName>
    <definedName name="AutonomousTotalL1">'Autonomous Devices (L)'!$F$19</definedName>
    <definedName name="AutonomousTotalL10">'Autonomous Devices (L)'!$G$23</definedName>
    <definedName name="AutonomousTotalL2">'Autonomous Devices (L)'!$F$20</definedName>
    <definedName name="AutonomousTotalL3">'Autonomous Devices (L)'!$F$21</definedName>
    <definedName name="AutonomousTotalL4">'Autonomous Devices (L)'!$F$22</definedName>
    <definedName name="AutonomousTotalL5">'Autonomous Devices (L)'!$F$23</definedName>
    <definedName name="AutonomousTotalL6">'Autonomous Devices (L)'!$G$19</definedName>
    <definedName name="AutonomousTotalL7">'Autonomous Devices (L)'!$G$20</definedName>
    <definedName name="AutonomousTotalL8">'Autonomous Devices (L)'!$G$21</definedName>
    <definedName name="AutonomousTotalL9">'Autonomous Devices (L)'!$G$22</definedName>
    <definedName name="AutonomousTotalM1">'Autonomous Devices (M)'!$F$19</definedName>
    <definedName name="AutonomousTotalM10">'Autonomous Devices (M)'!$G$23</definedName>
    <definedName name="AutonomousTotalM2">'Autonomous Devices (M)'!$F$20</definedName>
    <definedName name="AutonomousTotalM3">'Autonomous Devices (M)'!$F$21</definedName>
    <definedName name="AutonomousTotalM4">'Autonomous Devices (M)'!$F$22</definedName>
    <definedName name="AutonomousTotalM5">'Autonomous Devices (M)'!$F$23</definedName>
    <definedName name="AutonomousTotalM6">'Autonomous Devices (M)'!$G$19</definedName>
    <definedName name="AutonomousTotalM7">'Autonomous Devices (M)'!$G$20</definedName>
    <definedName name="AutonomousTotalM8">'Autonomous Devices (M)'!$G$21</definedName>
    <definedName name="AutonomousTotalM9">'Autonomous Devices (M)'!$G$22</definedName>
    <definedName name="Availability">'General Information'!$B$5</definedName>
    <definedName name="Classification">'General Information'!$C$8</definedName>
    <definedName name="ClassificationLMH">'Data Processing'!$K$1</definedName>
    <definedName name="CompletedRequirements">'General Information'!$C$11</definedName>
    <definedName name="Complexity">'General Information'!$C$9</definedName>
    <definedName name="Confidentiality">'General Information'!$C$5</definedName>
    <definedName name="EndUserTab">'General Information'!$F$51</definedName>
    <definedName name="EndUserTotalH1">'End User Devices BSRs (H)'!$F$17</definedName>
    <definedName name="EndUserTotalH10">'End User Devices BSRs (H)'!$G$21</definedName>
    <definedName name="EndUserTotalH2">'End User Devices BSRs (H)'!$F$18</definedName>
    <definedName name="EndUserTotalH3">'End User Devices BSRs (H)'!$F$19</definedName>
    <definedName name="EndUserTotalH4">'End User Devices BSRs (H)'!$F$20</definedName>
    <definedName name="EndUserTotalH5">'End User Devices BSRs (H)'!$F$21</definedName>
    <definedName name="EndUserTotalH6">'End User Devices BSRs (H)'!$G$17</definedName>
    <definedName name="EndUserTotalH7">'End User Devices BSRs (H)'!$G$18</definedName>
    <definedName name="EndUserTotalH8">'End User Devices BSRs (H)'!$G$19</definedName>
    <definedName name="EndUserTotalH9">'End User Devices BSRs (H)'!$G$20</definedName>
    <definedName name="EndUserTotalL1">'End User Devices BSRs (L)'!$F$17</definedName>
    <definedName name="EndUserTotalL10">'End User Devices BSRs (L)'!$G$21</definedName>
    <definedName name="EndUserTotalL2">'End User Devices BSRs (L)'!$F$18</definedName>
    <definedName name="EndUserTotalL3">'End User Devices BSRs (L)'!$F$19</definedName>
    <definedName name="EndUserTotalL4">'End User Devices BSRs (L)'!$F$20</definedName>
    <definedName name="EndUserTotalL5">'End User Devices BSRs (L)'!$F$21</definedName>
    <definedName name="EndUserTotalL6">'End User Devices BSRs (L)'!$G$17</definedName>
    <definedName name="EndUserTotalL7">'End User Devices BSRs (L)'!$G$18</definedName>
    <definedName name="EndUserTotalL8">'End User Devices BSRs (L)'!$G$19</definedName>
    <definedName name="EndUserTotalL9">'End User Devices BSRs (L)'!$G$20</definedName>
    <definedName name="EndUserTotalM1">'End User Devices BSRs (M)'!$F$17</definedName>
    <definedName name="EndUserTotalM10">'End User Devices BSRs (M)'!$G$21</definedName>
    <definedName name="EndUserTotalM2">'End User Devices BSRs (M)'!$F$18</definedName>
    <definedName name="EndUserTotalM3">'End User Devices BSRs (M)'!$F$19</definedName>
    <definedName name="EndUserTotalM4">'End User Devices BSRs (M)'!$F$20</definedName>
    <definedName name="EndUserTotalM5">'End User Devices BSRs (M)'!$F$21</definedName>
    <definedName name="EndUserTotalM6">'End User Devices BSRs (M)'!$G$17</definedName>
    <definedName name="EndUserTotalM7">'End User Devices BSRs (M)'!$G$18</definedName>
    <definedName name="EndUserTotalM8">'End User Devices BSRs (M)'!$G$19</definedName>
    <definedName name="EndUserTotalM9">'End User Devices BSRs (M)'!$G$20</definedName>
    <definedName name="Integrity">'General Information'!$D$5</definedName>
    <definedName name="NetworkTab">'General Information'!$F$54</definedName>
    <definedName name="NetworkTotalH1">'Network Security BSRs (H)'!$E$20</definedName>
    <definedName name="NetworkTotalH10">'Network Security BSRs (H)'!$F$24</definedName>
    <definedName name="NetworkTotalH2">'Network Security BSRs (H)'!$E$21</definedName>
    <definedName name="NetworkTotalH3">'Network Security BSRs (H)'!$E$22</definedName>
    <definedName name="NetworkTotalH4">'Network Security BSRs (H)'!$E$23</definedName>
    <definedName name="NetworkTotalH5">'Network Security BSRs (H)'!$E$24</definedName>
    <definedName name="NetworkTotalH6">'Network Security BSRs (H)'!$F$20</definedName>
    <definedName name="NetworkTotalH7">'Network Security BSRs (H)'!$F$21</definedName>
    <definedName name="NetworkTotalH8">'Network Security BSRs (H)'!$F$22</definedName>
    <definedName name="NetworkTotalH9">'Network Security BSRs (H)'!$F$23</definedName>
    <definedName name="NetworkTotalL1">'Network Security BSRs (L)'!$E$20</definedName>
    <definedName name="NetworkTotalL10">'Network Security BSRs (L)'!$F$24</definedName>
    <definedName name="NetworkTotalL2">'Network Security BSRs (L)'!$E$21</definedName>
    <definedName name="NetworkTotalL3">'Network Security BSRs (L)'!$E$22</definedName>
    <definedName name="NetworkTotalL4">'Network Security BSRs (L)'!$E$23</definedName>
    <definedName name="NetworkTotalL5">'Network Security BSRs (L)'!$E$24</definedName>
    <definedName name="NetworkTotalL6">'Network Security BSRs (L)'!$F$20</definedName>
    <definedName name="NetworkTotalL7">'Network Security BSRs (L)'!$F$21</definedName>
    <definedName name="NetworkTotalL8">'Network Security BSRs (L)'!$F$22</definedName>
    <definedName name="NetworkTotalL9">'Network Security BSRs (L)'!$F$23</definedName>
    <definedName name="NetworkTotalM1">'Network Security BSRs (M)'!$E$20</definedName>
    <definedName name="NetworkTotalM10">'Network Security BSRs (M)'!$F$24</definedName>
    <definedName name="NetworkTotalM2">'Network Security BSRs (M)'!$E$21</definedName>
    <definedName name="NetworkTotalM3">'Network Security BSRs (M)'!$E$22</definedName>
    <definedName name="NetworkTotalM4">'Network Security BSRs (M)'!$E$23</definedName>
    <definedName name="NetworkTotalM5">'Network Security BSRs (M)'!$E$24</definedName>
    <definedName name="NetworkTotalM6">'Network Security BSRs (M)'!$F$20</definedName>
    <definedName name="NetworkTotalM7">'Network Security BSRs (M)'!$F$21</definedName>
    <definedName name="NetworkTotalM8">'Network Security BSRs (M)'!$F$22</definedName>
    <definedName name="NetworkTotalM9">'Network Security BSRs (M)'!$F$23</definedName>
    <definedName name="RequirementsInProgress">'General Information'!$C$14</definedName>
    <definedName name="RequirementsNA">'General Information'!$C$13</definedName>
    <definedName name="RequirementsNotStarted">'General Information'!$C$12</definedName>
    <definedName name="RisksInProgress">'General Information'!$C$18</definedName>
    <definedName name="RisksNA">'General Information'!$C$17</definedName>
    <definedName name="RisksRegistered">'General Information'!$C$15</definedName>
    <definedName name="RisksTBC">'General Information'!$C$16</definedName>
    <definedName name="SaaSTab">'General Information'!$F$53</definedName>
    <definedName name="SaaSTotalH1">'Saas - PaaS BSRs (H)'!$E$25</definedName>
    <definedName name="SaaSTotalH10">'Saas - PaaS BSRs (H)'!$F$29</definedName>
    <definedName name="SaaSTotalH2">'Saas - PaaS BSRs (H)'!$E$26</definedName>
    <definedName name="SaaSTotalH3">'Saas - PaaS BSRs (H)'!$E$27</definedName>
    <definedName name="SaaSTotalH4">'Saas - PaaS BSRs (H)'!$E$28</definedName>
    <definedName name="SaaSTotalH5">'Saas - PaaS BSRs (H)'!$E$29</definedName>
    <definedName name="SaaSTotalH6">'Saas - PaaS BSRs (H)'!$F$25</definedName>
    <definedName name="SaaSTotalH7">'Saas - PaaS BSRs (H)'!$F$26</definedName>
    <definedName name="SaaSTotalH8">'Saas - PaaS BSRs (H)'!$F$27</definedName>
    <definedName name="SaaSTotalH9">'Saas - PaaS BSRs (H)'!$F$28</definedName>
    <definedName name="SaaSTotalL1">'Saas - PaaS BSRs (L)'!$E$28</definedName>
    <definedName name="SaaSTotalL10">'Saas - PaaS BSRs (L)'!$F$32</definedName>
    <definedName name="SaaSTotalL2">'Saas - PaaS BSRs (L)'!$E$29</definedName>
    <definedName name="SaaSTotalL3">'Saas - PaaS BSRs (L)'!$E$30</definedName>
    <definedName name="SaaSTotalL4">'Saas - PaaS BSRs (L)'!$E$31</definedName>
    <definedName name="SaaSTotalL5">'Saas - PaaS BSRs (L)'!$E$32</definedName>
    <definedName name="SaaSTotalL6">'Saas - PaaS BSRs (L)'!$F$28</definedName>
    <definedName name="SaaSTotalL7">'Saas - PaaS BSRs (L)'!$F$29</definedName>
    <definedName name="SaaSTotalL8">'Saas - PaaS BSRs (L)'!$F$30</definedName>
    <definedName name="SaaSTotalL9">'Saas - PaaS BSRs (L)'!$F$31</definedName>
    <definedName name="SaaSTotalM1">'Saas - PaaS BSRs (M)'!$E$28</definedName>
    <definedName name="SaaSTotalM10">'Saas - PaaS BSRs (M)'!$F$32</definedName>
    <definedName name="SaaSTotalM2">'Saas - PaaS BSRs (M)'!$E$29</definedName>
    <definedName name="SaaSTotalM3">'Saas - PaaS BSRs (M)'!$E$30</definedName>
    <definedName name="SaaSTotalM4">'Saas - PaaS BSRs (M)'!$E$31</definedName>
    <definedName name="SaaSTotalM5">'Saas - PaaS BSRs (M)'!$E$32</definedName>
    <definedName name="SaaSTotalM6">'Saas - PaaS BSRs (M)'!$F$28</definedName>
    <definedName name="SaaSTotalM7">'Saas - PaaS BSRs (M)'!$F$29</definedName>
    <definedName name="SaaSTotalM8">'Saas - PaaS BSRs (M)'!$F$30</definedName>
    <definedName name="SaaSTotalM9">'Saas - PaaS BSRs (M)'!$F$31</definedName>
    <definedName name="ServerTab">'General Information'!$F$50</definedName>
    <definedName name="ServerTotalH1">'Server BSRs (H)'!$F$25</definedName>
    <definedName name="ServerTotalH10">'Server BSRs (H)'!$G$29</definedName>
    <definedName name="ServerTotalH2">'Server BSRs (H)'!$F$26</definedName>
    <definedName name="ServerTotalH3">'Server BSRs (H)'!$F$27</definedName>
    <definedName name="ServerTotalH4">'Server BSRs (H)'!$F$28</definedName>
    <definedName name="ServerTotalH5">'Server BSRs (H)'!$F$29</definedName>
    <definedName name="ServerTotalH6">'Server BSRs (H)'!$G$25</definedName>
    <definedName name="ServerTotalH7">'Server BSRs (H)'!$G$26</definedName>
    <definedName name="ServerTotalH8">'Server BSRs (H)'!$G$27</definedName>
    <definedName name="ServerTotalH9">'Server BSRs (H)'!$G$28</definedName>
    <definedName name="ServerTotalL1">'Server BSRs (L)'!$F$25</definedName>
    <definedName name="ServerTotalL10">'Server BSRs (L)'!$G$29</definedName>
    <definedName name="ServerTotalL2">'Server BSRs (L)'!$F$26</definedName>
    <definedName name="ServerTotalL3">'Server BSRs (L)'!$F$27</definedName>
    <definedName name="ServerTotalL4">'Server BSRs (L)'!$F$28</definedName>
    <definedName name="ServerTotalL5">'Server BSRs (L)'!$F$29</definedName>
    <definedName name="ServerTotalL6">'Server BSRs (L)'!$G$25</definedName>
    <definedName name="ServerTotalL7">'Server BSRs (L)'!$G$26</definedName>
    <definedName name="ServerTotalL8">'Server BSRs (L)'!$G$27</definedName>
    <definedName name="ServerTotalL9">'Server BSRs (L)'!$G$28</definedName>
    <definedName name="ServerTotalM1">'Server BSRs (M)'!$F$25</definedName>
    <definedName name="ServerTotalM10">'Server BSRs (M)'!$G$29</definedName>
    <definedName name="ServerTotalM2">'Server BSRs (M)'!$F$26</definedName>
    <definedName name="ServerTotalM3">'Server BSRs (M)'!$F$27</definedName>
    <definedName name="ServerTotalM4">'Server BSRs (M)'!$F$28</definedName>
    <definedName name="ServerTotalM5">'Server BSRs (M)'!$F$29</definedName>
    <definedName name="ServerTotalM6">'Server BSRs (M)'!$G$25</definedName>
    <definedName name="ServerTotalM7">'Server BSRs (M)'!$G$26</definedName>
    <definedName name="ServerTotalM8">'Server BSRs (M)'!$G$27</definedName>
    <definedName name="ServerTotalM9">'Server BSRs (M)'!$G$28</definedName>
    <definedName name="SoftwareTab">'General Information'!$F$55</definedName>
    <definedName name="SoftwareTotalH1">'Software Development BSRs (H)'!$F$32</definedName>
    <definedName name="SoftwareTotalH10">'Software Development BSRs (H)'!$G$36</definedName>
    <definedName name="SoftwareTotalH2">'Software Development BSRs (H)'!$F$33</definedName>
    <definedName name="SoftwareTotalH3">'Software Development BSRs (H)'!$F$34</definedName>
    <definedName name="SoftwareTotalH4">'Software Development BSRs (H)'!$F$35</definedName>
    <definedName name="SoftwareTotalH5">'Software Development BSRs (H)'!$F$36</definedName>
    <definedName name="SoftwareTotalH6">'Software Development BSRs (H)'!$G$32</definedName>
    <definedName name="SoftwareTotalH7">'Software Development BSRs (H)'!$G$33</definedName>
    <definedName name="SoftwareTotalH8">'Software Development BSRs (H)'!$G$34</definedName>
    <definedName name="SoftwareTotalH9">'Software Development BSRs (H)'!$G$35</definedName>
    <definedName name="SoftwareTotalL1">'Software Development BSRs (L)'!$F$32</definedName>
    <definedName name="SoftwareTotalL10">'Software Development BSRs (L)'!$G$36</definedName>
    <definedName name="SoftwareTotalL2">'Software Development BSRs (L)'!$F$33</definedName>
    <definedName name="SoftwareTotalL3">'Software Development BSRs (L)'!$F$34</definedName>
    <definedName name="SoftwareTotalL4">'Software Development BSRs (L)'!$F$35</definedName>
    <definedName name="SoftwareTotalL5">'Software Development BSRs (L)'!$F$36</definedName>
    <definedName name="SoftwareTotalL6">'Software Development BSRs (L)'!$G$32</definedName>
    <definedName name="SoftwareTotalL7">'Software Development BSRs (L)'!$G$33</definedName>
    <definedName name="SoftwareTotalL8">'Software Development BSRs (L)'!$G$34</definedName>
    <definedName name="SoftwareTotalL9">'Software Development BSRs (L)'!$G$35</definedName>
    <definedName name="SoftwareTotalM1">'Software Development BSRs (M)'!$F$32</definedName>
    <definedName name="SoftwareTotalM10">'Software Development BSRs (M)'!$G$36</definedName>
    <definedName name="SoftwareTotalM2">'Software Development BSRs (M)'!$F$33</definedName>
    <definedName name="SoftwareTotalM3">'Software Development BSRs (M)'!$F$34</definedName>
    <definedName name="SoftwareTotalM4">'Software Development BSRs (M)'!$F$35</definedName>
    <definedName name="SoftwareTotalM5">'Software Development BSRs (M)'!$F$36</definedName>
    <definedName name="SoftwareTotalM6">'Software Development BSRs (M)'!$G$32</definedName>
    <definedName name="SoftwareTotalM7">'Software Development BSRs (M)'!$G$33</definedName>
    <definedName name="SoftwareTotalM8">'Software Development BSRs (M)'!$G$34</definedName>
    <definedName name="SoftwareTotalM9">'Software Development BSRs (M)'!$G$35</definedName>
    <definedName name="TotalRequirements">'General Information'!$C$10</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8" i="1" l="1"/>
  <c r="C17" i="1"/>
  <c r="C16" i="1"/>
  <c r="C15" i="1"/>
  <c r="C8" i="1" l="1"/>
  <c r="D5" i="22"/>
  <c r="C20" i="24"/>
  <c r="C21" i="24"/>
  <c r="C22" i="24"/>
  <c r="C23" i="24"/>
  <c r="D21" i="23"/>
  <c r="D22" i="23"/>
  <c r="D23" i="23"/>
  <c r="D24" i="23"/>
  <c r="D18" i="21"/>
  <c r="D19" i="21"/>
  <c r="D20" i="21"/>
  <c r="D21" i="21"/>
  <c r="C20" i="18"/>
  <c r="C21" i="18"/>
  <c r="C22" i="18"/>
  <c r="C23" i="18"/>
  <c r="D21" i="17"/>
  <c r="D22" i="17"/>
  <c r="D23" i="17"/>
  <c r="D24" i="17"/>
  <c r="D17" i="15"/>
  <c r="D18" i="15"/>
  <c r="D19" i="15"/>
  <c r="D20" i="15"/>
  <c r="D21" i="15"/>
  <c r="D22" i="15"/>
  <c r="D18" i="23" l="1"/>
  <c r="C6" i="8"/>
  <c r="C7" i="8"/>
  <c r="C8" i="8"/>
  <c r="C9" i="8"/>
  <c r="C10" i="8"/>
  <c r="C11" i="8"/>
  <c r="C12" i="8"/>
  <c r="C13" i="8"/>
  <c r="C14" i="8"/>
  <c r="C5" i="8"/>
  <c r="C6" i="6"/>
  <c r="C7" i="6"/>
  <c r="C8" i="6"/>
  <c r="C9" i="6"/>
  <c r="C13" i="6"/>
  <c r="C16" i="6"/>
  <c r="C17" i="6"/>
  <c r="C18" i="6"/>
  <c r="C19" i="6"/>
  <c r="C20" i="6"/>
  <c r="C21" i="6"/>
  <c r="C22" i="6"/>
  <c r="C23" i="6"/>
  <c r="C5" i="6"/>
  <c r="D6" i="5"/>
  <c r="D7" i="5"/>
  <c r="D8" i="5"/>
  <c r="D9" i="5"/>
  <c r="D11" i="5"/>
  <c r="D13" i="5"/>
  <c r="D15" i="5"/>
  <c r="D16" i="5"/>
  <c r="D17" i="5"/>
  <c r="D18" i="5"/>
  <c r="D19" i="5"/>
  <c r="D20" i="5"/>
  <c r="D21" i="5"/>
  <c r="D22" i="5"/>
  <c r="D23" i="5"/>
  <c r="D24" i="5"/>
  <c r="D25" i="5"/>
  <c r="D5" i="5"/>
  <c r="D6" i="3"/>
  <c r="D7" i="3"/>
  <c r="D8" i="3"/>
  <c r="D9" i="3"/>
  <c r="D10" i="3"/>
  <c r="D12" i="3"/>
  <c r="D13" i="3"/>
  <c r="D15" i="3"/>
  <c r="D16" i="3"/>
  <c r="D17" i="3"/>
  <c r="D18" i="3"/>
  <c r="D19" i="3"/>
  <c r="D20" i="3"/>
  <c r="D21" i="3"/>
  <c r="D22" i="3"/>
  <c r="D23" i="3"/>
  <c r="D24" i="3"/>
  <c r="D5" i="3"/>
  <c r="D6" i="4"/>
  <c r="D7" i="4"/>
  <c r="D8" i="4"/>
  <c r="D10" i="4"/>
  <c r="D11" i="4"/>
  <c r="D5" i="4"/>
  <c r="C6" i="19"/>
  <c r="C7" i="19"/>
  <c r="C8" i="19"/>
  <c r="C9" i="19"/>
  <c r="C10" i="19"/>
  <c r="C11" i="19"/>
  <c r="C12" i="19"/>
  <c r="C13" i="19"/>
  <c r="C14" i="19"/>
  <c r="C5" i="19"/>
  <c r="C6" i="18"/>
  <c r="C7" i="18"/>
  <c r="C8" i="18"/>
  <c r="C9" i="18"/>
  <c r="C10" i="18"/>
  <c r="C11" i="18"/>
  <c r="C12" i="18"/>
  <c r="C13" i="18"/>
  <c r="C14" i="18"/>
  <c r="C15" i="18"/>
  <c r="C16" i="18"/>
  <c r="C17" i="18"/>
  <c r="C18" i="18"/>
  <c r="C19" i="18"/>
  <c r="C5" i="18"/>
  <c r="D6" i="17"/>
  <c r="D7" i="17"/>
  <c r="D8" i="17"/>
  <c r="D9" i="17"/>
  <c r="D10" i="17"/>
  <c r="D11" i="17"/>
  <c r="D12" i="17"/>
  <c r="D13" i="17"/>
  <c r="D14" i="17"/>
  <c r="D15" i="17"/>
  <c r="D16" i="17"/>
  <c r="D17" i="17"/>
  <c r="D18" i="17"/>
  <c r="D19" i="17"/>
  <c r="D20" i="17"/>
  <c r="D25" i="17"/>
  <c r="D5" i="17"/>
  <c r="D6" i="16"/>
  <c r="D7" i="16"/>
  <c r="D8" i="16"/>
  <c r="D10" i="16"/>
  <c r="D11" i="16"/>
  <c r="D6" i="15"/>
  <c r="D7" i="15"/>
  <c r="D8" i="15"/>
  <c r="D9" i="15"/>
  <c r="D10" i="15"/>
  <c r="D11" i="15"/>
  <c r="D12" i="15"/>
  <c r="D13" i="15"/>
  <c r="D15" i="15"/>
  <c r="D16" i="15"/>
  <c r="D23" i="15"/>
  <c r="D24" i="15"/>
  <c r="D5" i="15"/>
  <c r="D5" i="16"/>
  <c r="C6" i="25"/>
  <c r="C7" i="25"/>
  <c r="C8" i="25"/>
  <c r="C9" i="25"/>
  <c r="C10" i="25"/>
  <c r="C11" i="25"/>
  <c r="C12" i="25"/>
  <c r="C13" i="25"/>
  <c r="C14" i="25"/>
  <c r="C5" i="25"/>
  <c r="C6" i="24"/>
  <c r="C7" i="24"/>
  <c r="C8" i="24"/>
  <c r="C9" i="24"/>
  <c r="C10" i="24"/>
  <c r="C11" i="24"/>
  <c r="C12" i="24"/>
  <c r="C13" i="24"/>
  <c r="C14" i="24"/>
  <c r="C15" i="24"/>
  <c r="C16" i="24"/>
  <c r="C17" i="24"/>
  <c r="C18" i="24"/>
  <c r="C19" i="24"/>
  <c r="C5" i="24"/>
  <c r="D6" i="23"/>
  <c r="D7" i="23"/>
  <c r="D8" i="23"/>
  <c r="D9" i="23"/>
  <c r="D10" i="23"/>
  <c r="D11" i="23"/>
  <c r="D12" i="23"/>
  <c r="D13" i="23"/>
  <c r="D14" i="23"/>
  <c r="D15" i="23"/>
  <c r="D16" i="23"/>
  <c r="D17" i="23"/>
  <c r="D19" i="23"/>
  <c r="D20" i="23"/>
  <c r="D25" i="23"/>
  <c r="D5" i="23"/>
  <c r="D6" i="21"/>
  <c r="D7" i="21"/>
  <c r="D8" i="21"/>
  <c r="D9" i="21"/>
  <c r="D10" i="21"/>
  <c r="D11" i="21"/>
  <c r="D12" i="21"/>
  <c r="D13" i="21"/>
  <c r="D14" i="21"/>
  <c r="D15" i="21"/>
  <c r="D16" i="21"/>
  <c r="D17" i="21"/>
  <c r="D22" i="21"/>
  <c r="D23" i="21"/>
  <c r="D24" i="21"/>
  <c r="D5" i="21"/>
  <c r="D6" i="22"/>
  <c r="D7" i="22"/>
  <c r="D8" i="22"/>
  <c r="D9" i="22"/>
  <c r="D10" i="22"/>
  <c r="D11" i="22"/>
  <c r="A52" i="12" l="1"/>
  <c r="B53" i="12"/>
  <c r="C52" i="12"/>
  <c r="D52" i="12"/>
  <c r="E52" i="12"/>
  <c r="F52" i="12"/>
  <c r="G52" i="12"/>
  <c r="A53" i="12"/>
  <c r="B54" i="12"/>
  <c r="C53" i="12"/>
  <c r="D53" i="12"/>
  <c r="E53" i="12"/>
  <c r="F53" i="12"/>
  <c r="G53" i="12"/>
  <c r="A54" i="12"/>
  <c r="B55" i="12"/>
  <c r="C54" i="12"/>
  <c r="D54" i="12"/>
  <c r="E54" i="12"/>
  <c r="F54" i="12"/>
  <c r="G54" i="12"/>
  <c r="A55" i="12"/>
  <c r="B56" i="12"/>
  <c r="C55" i="12"/>
  <c r="D55" i="12"/>
  <c r="E55" i="12"/>
  <c r="F55" i="12"/>
  <c r="G55" i="12"/>
  <c r="A56" i="12"/>
  <c r="B57" i="12"/>
  <c r="C56" i="12"/>
  <c r="D56" i="12"/>
  <c r="E56" i="12"/>
  <c r="F56" i="12"/>
  <c r="G56" i="12"/>
  <c r="A57" i="12"/>
  <c r="B58" i="12"/>
  <c r="C57" i="12"/>
  <c r="D57" i="12"/>
  <c r="E57" i="12"/>
  <c r="F57" i="12"/>
  <c r="G57" i="12"/>
  <c r="A58" i="12"/>
  <c r="B59" i="12"/>
  <c r="C58" i="12"/>
  <c r="D58" i="12"/>
  <c r="E58" i="12"/>
  <c r="F58" i="12"/>
  <c r="G58" i="12"/>
  <c r="A59" i="12"/>
  <c r="B60" i="12"/>
  <c r="C59" i="12"/>
  <c r="D59" i="12"/>
  <c r="E59" i="12"/>
  <c r="F59" i="12"/>
  <c r="G59" i="12"/>
  <c r="A60" i="12"/>
  <c r="B61" i="12"/>
  <c r="C60" i="12"/>
  <c r="D60" i="12"/>
  <c r="E60" i="12"/>
  <c r="F60" i="12"/>
  <c r="G60" i="12"/>
  <c r="A61" i="12"/>
  <c r="B62" i="12"/>
  <c r="C61" i="12"/>
  <c r="D61" i="12"/>
  <c r="E61" i="12"/>
  <c r="F61" i="12"/>
  <c r="G61" i="12"/>
  <c r="A62" i="12"/>
  <c r="B63" i="12"/>
  <c r="C62" i="12"/>
  <c r="D62" i="12"/>
  <c r="E62" i="12"/>
  <c r="F62" i="12"/>
  <c r="G62" i="12"/>
  <c r="A63" i="12"/>
  <c r="B64" i="12"/>
  <c r="C63" i="12"/>
  <c r="D63" i="12"/>
  <c r="E63" i="12"/>
  <c r="F63" i="12"/>
  <c r="G63" i="12"/>
  <c r="G51" i="12"/>
  <c r="F51" i="12"/>
  <c r="E51" i="12"/>
  <c r="D51" i="12"/>
  <c r="C51" i="12"/>
  <c r="B52" i="12"/>
  <c r="A51" i="12"/>
  <c r="A36" i="12"/>
  <c r="B37" i="12"/>
  <c r="C36" i="12"/>
  <c r="D36" i="12"/>
  <c r="E36" i="12"/>
  <c r="F36" i="12"/>
  <c r="G36" i="12"/>
  <c r="A37" i="12"/>
  <c r="B38" i="12"/>
  <c r="C37" i="12"/>
  <c r="D37" i="12"/>
  <c r="E37" i="12"/>
  <c r="F37" i="12"/>
  <c r="G37" i="12"/>
  <c r="A38" i="12"/>
  <c r="B39" i="12"/>
  <c r="C38" i="12"/>
  <c r="D38" i="12"/>
  <c r="E38" i="12"/>
  <c r="F38" i="12"/>
  <c r="G38" i="12"/>
  <c r="A39" i="12"/>
  <c r="B40" i="12"/>
  <c r="C39" i="12"/>
  <c r="D39" i="12"/>
  <c r="E39" i="12"/>
  <c r="F39" i="12"/>
  <c r="G39" i="12"/>
  <c r="A40" i="12"/>
  <c r="B41" i="12"/>
  <c r="C40" i="12"/>
  <c r="D40" i="12"/>
  <c r="E40" i="12"/>
  <c r="F40" i="12"/>
  <c r="G40" i="12"/>
  <c r="A41" i="12"/>
  <c r="B42" i="12"/>
  <c r="C41" i="12"/>
  <c r="D41" i="12"/>
  <c r="E41" i="12"/>
  <c r="F41" i="12"/>
  <c r="G41" i="12"/>
  <c r="A42" i="12"/>
  <c r="B43" i="12"/>
  <c r="C42" i="12"/>
  <c r="D42" i="12"/>
  <c r="E42" i="12"/>
  <c r="F42" i="12"/>
  <c r="G42" i="12"/>
  <c r="A43" i="12"/>
  <c r="B44" i="12"/>
  <c r="C43" i="12"/>
  <c r="D43" i="12"/>
  <c r="E43" i="12"/>
  <c r="F43" i="12"/>
  <c r="G43" i="12"/>
  <c r="A44" i="12"/>
  <c r="B45" i="12"/>
  <c r="C44" i="12"/>
  <c r="D44" i="12"/>
  <c r="E44" i="12"/>
  <c r="F44" i="12"/>
  <c r="G44" i="12"/>
  <c r="A45" i="12"/>
  <c r="B46" i="12"/>
  <c r="C45" i="12"/>
  <c r="D45" i="12"/>
  <c r="E45" i="12"/>
  <c r="F45" i="12"/>
  <c r="G45" i="12"/>
  <c r="A46" i="12"/>
  <c r="B47" i="12"/>
  <c r="C46" i="12"/>
  <c r="D46" i="12"/>
  <c r="E46" i="12"/>
  <c r="F46" i="12"/>
  <c r="G46" i="12"/>
  <c r="A47" i="12"/>
  <c r="B48" i="12"/>
  <c r="C47" i="12"/>
  <c r="D47" i="12"/>
  <c r="E47" i="12"/>
  <c r="F47" i="12"/>
  <c r="G47" i="12"/>
  <c r="F35" i="12"/>
  <c r="E35" i="12"/>
  <c r="D35" i="12"/>
  <c r="C35" i="12"/>
  <c r="B36" i="12"/>
  <c r="A35" i="12"/>
  <c r="G35" i="12"/>
  <c r="G20" i="30" l="1"/>
  <c r="G20" i="28"/>
  <c r="G20" i="27" l="1"/>
  <c r="C9" i="1"/>
  <c r="G22" i="30"/>
  <c r="F22" i="30"/>
  <c r="G21" i="30"/>
  <c r="F21" i="30"/>
  <c r="F20" i="30"/>
  <c r="G19" i="30"/>
  <c r="F19" i="30"/>
  <c r="G22" i="28"/>
  <c r="F22" i="28"/>
  <c r="G21" i="28"/>
  <c r="F21" i="28"/>
  <c r="F20" i="28"/>
  <c r="G19" i="28"/>
  <c r="F19" i="28"/>
  <c r="G22" i="27"/>
  <c r="F22" i="27"/>
  <c r="G21" i="27"/>
  <c r="F21" i="27"/>
  <c r="F20" i="27"/>
  <c r="G19" i="27"/>
  <c r="F19" i="27"/>
  <c r="F23" i="30" l="1"/>
  <c r="G23" i="28"/>
  <c r="G23" i="30"/>
  <c r="F23" i="28"/>
  <c r="G26" i="12" s="1"/>
  <c r="G22" i="12"/>
  <c r="F23" i="27"/>
  <c r="G24" i="12" s="1"/>
  <c r="G23" i="27"/>
  <c r="G21" i="12" l="1"/>
  <c r="G20" i="12"/>
  <c r="G23" i="12"/>
  <c r="G19" i="12"/>
  <c r="G27" i="12"/>
  <c r="G28" i="12"/>
  <c r="G30" i="12"/>
  <c r="G31" i="12"/>
  <c r="G25" i="12"/>
  <c r="G29" i="12"/>
  <c r="I56" i="12" l="1"/>
  <c r="I51" i="12"/>
  <c r="I55" i="12"/>
  <c r="I63" i="12"/>
  <c r="I61" i="12"/>
  <c r="I53" i="12"/>
  <c r="I60" i="12"/>
  <c r="I52" i="12"/>
  <c r="I59" i="12"/>
  <c r="I40" i="12"/>
  <c r="I58" i="12"/>
  <c r="I57" i="12"/>
  <c r="I62" i="12"/>
  <c r="I54" i="12"/>
  <c r="I46" i="12"/>
  <c r="I39" i="12"/>
  <c r="I38" i="12"/>
  <c r="I44" i="12"/>
  <c r="I36" i="12"/>
  <c r="I45" i="12"/>
  <c r="I43" i="12"/>
  <c r="I47" i="12"/>
  <c r="I42" i="12"/>
  <c r="I37" i="12"/>
  <c r="I41" i="12"/>
  <c r="I35" i="12"/>
  <c r="G33" i="13"/>
  <c r="F21" i="8"/>
  <c r="F29" i="6"/>
  <c r="G30" i="5"/>
  <c r="G18" i="4"/>
  <c r="G26" i="3"/>
  <c r="G18" i="16"/>
  <c r="G26" i="15"/>
  <c r="G30" i="17"/>
  <c r="F29" i="18"/>
  <c r="F21" i="19"/>
  <c r="G33" i="20"/>
  <c r="G33" i="26"/>
  <c r="F21" i="25"/>
  <c r="F26" i="24"/>
  <c r="G30" i="23"/>
  <c r="G18" i="22"/>
  <c r="G26" i="21"/>
  <c r="F31" i="6" l="1"/>
  <c r="F27" i="3"/>
  <c r="F25" i="21" l="1"/>
  <c r="G35" i="13" l="1"/>
  <c r="F35" i="13"/>
  <c r="G34" i="13"/>
  <c r="F34" i="13"/>
  <c r="F33" i="13"/>
  <c r="G32" i="13"/>
  <c r="F32" i="13"/>
  <c r="F23" i="8"/>
  <c r="E23" i="8"/>
  <c r="F22" i="8"/>
  <c r="E22" i="8"/>
  <c r="E21" i="8"/>
  <c r="F20" i="8"/>
  <c r="E20" i="8"/>
  <c r="G28" i="3"/>
  <c r="F28" i="3"/>
  <c r="G27" i="3"/>
  <c r="F26" i="3"/>
  <c r="G25" i="3"/>
  <c r="F25" i="3"/>
  <c r="E31" i="6"/>
  <c r="F30" i="6"/>
  <c r="E30" i="6"/>
  <c r="E29" i="6"/>
  <c r="F28" i="6"/>
  <c r="E28" i="6"/>
  <c r="G20" i="4"/>
  <c r="F20" i="4"/>
  <c r="G19" i="4"/>
  <c r="F19" i="4"/>
  <c r="F18" i="4"/>
  <c r="G17" i="4"/>
  <c r="F17" i="4"/>
  <c r="F31" i="5"/>
  <c r="G32" i="5"/>
  <c r="F32" i="5"/>
  <c r="G31" i="5"/>
  <c r="F30" i="5"/>
  <c r="G29" i="5"/>
  <c r="F29" i="5"/>
  <c r="F24" i="8" l="1"/>
  <c r="E24" i="8"/>
  <c r="F21" i="4"/>
  <c r="G36" i="13"/>
  <c r="F36" i="13"/>
  <c r="G33" i="5"/>
  <c r="G29" i="3"/>
  <c r="F29" i="3"/>
  <c r="F32" i="6"/>
  <c r="E32" i="6"/>
  <c r="G21" i="4"/>
  <c r="F33" i="5"/>
  <c r="G35" i="20" l="1"/>
  <c r="G34" i="20"/>
  <c r="G32" i="20"/>
  <c r="F35" i="20"/>
  <c r="F34" i="20"/>
  <c r="F33" i="20"/>
  <c r="F32" i="20"/>
  <c r="F20" i="19"/>
  <c r="F23" i="19"/>
  <c r="F22" i="19"/>
  <c r="E23" i="19"/>
  <c r="E22" i="19"/>
  <c r="E21" i="19"/>
  <c r="E20" i="19"/>
  <c r="F31" i="18"/>
  <c r="F30" i="18"/>
  <c r="F28" i="18"/>
  <c r="E31" i="18"/>
  <c r="E30" i="18"/>
  <c r="E29" i="18"/>
  <c r="E28" i="18"/>
  <c r="G32" i="17"/>
  <c r="G31" i="17"/>
  <c r="G29" i="17"/>
  <c r="F32" i="17"/>
  <c r="F31" i="17"/>
  <c r="F30" i="17"/>
  <c r="F29" i="17"/>
  <c r="G20" i="16"/>
  <c r="G19" i="16"/>
  <c r="F20" i="16"/>
  <c r="F19" i="16"/>
  <c r="F18" i="16"/>
  <c r="G17" i="16"/>
  <c r="F17" i="16"/>
  <c r="G28" i="15"/>
  <c r="F28" i="15"/>
  <c r="G27" i="15"/>
  <c r="F27" i="15"/>
  <c r="F26" i="15"/>
  <c r="G25" i="15"/>
  <c r="F25" i="15"/>
  <c r="G36" i="20" l="1"/>
  <c r="F36" i="20"/>
  <c r="F32" i="18"/>
  <c r="E32" i="18"/>
  <c r="G33" i="17"/>
  <c r="F33" i="17"/>
  <c r="G29" i="15"/>
  <c r="F29" i="15"/>
  <c r="F33" i="26"/>
  <c r="F32" i="26"/>
  <c r="E21" i="25"/>
  <c r="E20" i="25"/>
  <c r="E26" i="24"/>
  <c r="E25" i="24"/>
  <c r="F30" i="23"/>
  <c r="F29" i="23"/>
  <c r="F18" i="22"/>
  <c r="F17" i="22"/>
  <c r="G25" i="21"/>
  <c r="F26" i="21"/>
  <c r="C12" i="1" l="1"/>
  <c r="C11" i="1"/>
  <c r="G35" i="26"/>
  <c r="F35" i="26"/>
  <c r="G34" i="26"/>
  <c r="F34" i="26"/>
  <c r="G32" i="26"/>
  <c r="F23" i="25"/>
  <c r="E23" i="25"/>
  <c r="F22" i="25"/>
  <c r="E22" i="25"/>
  <c r="F20" i="25"/>
  <c r="F28" i="24"/>
  <c r="E28" i="24"/>
  <c r="F27" i="24"/>
  <c r="E27" i="24"/>
  <c r="F25" i="24"/>
  <c r="G32" i="23"/>
  <c r="F32" i="23"/>
  <c r="G31" i="23"/>
  <c r="F31" i="23"/>
  <c r="G29" i="23"/>
  <c r="G20" i="22"/>
  <c r="G19" i="22"/>
  <c r="G17" i="22"/>
  <c r="F20" i="22"/>
  <c r="F19" i="22"/>
  <c r="G28" i="21"/>
  <c r="G27" i="21"/>
  <c r="F28" i="21"/>
  <c r="F27" i="21"/>
  <c r="C13" i="1" l="1"/>
  <c r="C14" i="1"/>
  <c r="C10" i="1" s="1"/>
  <c r="A27" i="12"/>
  <c r="F36" i="26"/>
  <c r="F25" i="12" s="1"/>
  <c r="G36" i="26"/>
  <c r="G33" i="23"/>
  <c r="G29" i="21"/>
  <c r="F24" i="25"/>
  <c r="F29" i="24"/>
  <c r="G21" i="22"/>
  <c r="F29" i="21"/>
  <c r="A19" i="12" s="1"/>
  <c r="F33" i="23"/>
  <c r="C30" i="12" s="1"/>
  <c r="E29" i="24"/>
  <c r="D30" i="12" s="1"/>
  <c r="E24" i="25"/>
  <c r="F21" i="22"/>
  <c r="B20" i="12" s="1"/>
  <c r="A22" i="12" l="1"/>
  <c r="B24" i="12"/>
  <c r="A31" i="12"/>
  <c r="C20" i="12"/>
  <c r="A23" i="12"/>
  <c r="C19" i="12"/>
  <c r="F23" i="12"/>
  <c r="D24" i="12"/>
  <c r="C24" i="12"/>
  <c r="C21" i="12"/>
  <c r="C26" i="12"/>
  <c r="F30" i="12"/>
  <c r="D27" i="12"/>
  <c r="D22" i="12"/>
  <c r="F19" i="12"/>
  <c r="F31" i="12"/>
  <c r="F28" i="12"/>
  <c r="D29" i="12"/>
  <c r="C27" i="12"/>
  <c r="C22" i="12"/>
  <c r="D20" i="12"/>
  <c r="C28" i="12"/>
  <c r="C23" i="12"/>
  <c r="F27" i="12"/>
  <c r="D25" i="12"/>
  <c r="D23" i="12"/>
  <c r="D28" i="12"/>
  <c r="A30" i="12"/>
  <c r="F22" i="12"/>
  <c r="C25" i="12"/>
  <c r="D26" i="12"/>
  <c r="D31" i="12"/>
  <c r="F29" i="12"/>
  <c r="F21" i="12"/>
  <c r="D19" i="12"/>
  <c r="C31" i="12"/>
  <c r="D21" i="12"/>
  <c r="F20" i="12"/>
  <c r="C29" i="12"/>
  <c r="F24" i="12"/>
  <c r="F26" i="12"/>
  <c r="B21" i="12"/>
  <c r="B29" i="12"/>
  <c r="B22" i="12"/>
  <c r="B30" i="12"/>
  <c r="B28" i="12"/>
  <c r="B23" i="12"/>
  <c r="B31" i="12"/>
  <c r="B26" i="12"/>
  <c r="B32" i="12"/>
  <c r="B25" i="12"/>
  <c r="B27" i="12"/>
  <c r="A20" i="12"/>
  <c r="A26" i="12"/>
  <c r="A25" i="12"/>
  <c r="A21" i="12"/>
  <c r="A28" i="12"/>
  <c r="A24" i="12"/>
  <c r="A29" i="12"/>
  <c r="L6" i="12" l="1"/>
  <c r="L5" i="12"/>
  <c r="L4" i="12"/>
  <c r="L3" i="12"/>
  <c r="L2" i="12"/>
  <c r="L1" i="12"/>
  <c r="F21" i="16" l="1"/>
  <c r="G21" i="16"/>
  <c r="E24" i="19"/>
  <c r="F24" i="19"/>
  <c r="E25" i="12" l="1"/>
  <c r="I25" i="12" s="1"/>
  <c r="E30" i="12"/>
  <c r="I30" i="12" s="1"/>
  <c r="E24" i="12"/>
  <c r="I24" i="12" s="1"/>
  <c r="E29" i="12"/>
  <c r="I29" i="12" s="1"/>
  <c r="E22" i="12"/>
  <c r="I22" i="12" s="1"/>
  <c r="E23" i="12"/>
  <c r="I23" i="12" s="1"/>
  <c r="E19" i="12"/>
  <c r="I19" i="12" s="1"/>
  <c r="E28" i="12"/>
  <c r="I28" i="12" s="1"/>
  <c r="E21" i="12"/>
  <c r="I21" i="12" s="1"/>
  <c r="E27" i="12"/>
  <c r="I27" i="12" s="1"/>
  <c r="E31" i="12"/>
  <c r="I31" i="12" s="1"/>
  <c r="E20" i="12"/>
  <c r="I20" i="12" s="1"/>
  <c r="E26" i="12"/>
  <c r="I2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tc={147FCE25-7D39-40D3-9AD2-8D5649FCC3C5}</author>
    <author>tc={07791632-2648-4C59-BD52-11491C43D57D}</author>
  </authors>
  <commentList>
    <comment ref="B10" authorId="0" shapeId="0" xr:uid="{147FCE25-7D39-40D3-9AD2-8D5649FCC3C5}">
      <text>
        <t>[Threaded comment]
Your version of Excel allows you to read this threaded comment; however, any edits to it will get removed if the file is opened in a newer version of Excel. Learn more: https://go.microsoft.com/fwlink/?linkid=870924
Comment:
    Total Requirements does not count reequirements that are "Not Applicable"</t>
      </text>
    </comment>
    <comment ref="B31" authorId="1" shapeId="0" xr:uid="{07791632-2648-4C59-BD52-11491C43D57D}">
      <text>
        <t>[Threaded comment]
Your version of Excel allows you to read this threaded comment; however, any edits to it will get removed if the file is opened in a newer version of Excel. Learn more: https://go.microsoft.com/fwlink/?linkid=870924
Comment:
    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tc={861315A8-72E1-4F4D-8F24-7B23C8F9BFE3}</author>
    <author>tc={3BAE7611-DA51-4B62-B4DE-353F72339D5C}</author>
    <author>tc={04069271-6F8D-428E-A01C-B847C87E3808}</author>
    <author>tc={31DEBF7F-2346-4DD2-89F1-02BE3B62E9D4}</author>
  </authors>
  <commentList>
    <comment ref="F4" authorId="0" shapeId="0" xr:uid="{861315A8-72E1-4F4D-8F24-7B23C8F9BFE3}">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3BAE7611-DA51-4B62-B4DE-353F72339D5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04069271-6F8D-428E-A01C-B847C87E380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31DEBF7F-2346-4DD2-89F1-02BE3B62E9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tc={7C85C72E-C03D-474B-A915-0D7F980B7D9E}</author>
    <author>tc={566700EC-D6B4-44CB-BB6E-2FA100A07B22}</author>
    <author>tc={13423D2C-20F9-4D37-9A6A-DB67F3D7EC1E}</author>
    <author>tc={521DE232-E96E-4C3E-9DB0-5253BFAFF8EE}</author>
  </authors>
  <commentList>
    <comment ref="F4" authorId="0" shapeId="0" xr:uid="{7C85C72E-C03D-474B-A915-0D7F980B7D9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566700EC-D6B4-44CB-BB6E-2FA100A07B2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13423D2C-20F9-4D37-9A6A-DB67F3D7EC1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521DE232-E96E-4C3E-9DB0-5253BFAFF8EE}">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tc={D72A9747-2C1E-47F9-88AD-3DE383EEEA8E}</author>
    <author>tc={205EE161-F2CF-4ED3-8293-EA4397D08BB2}</author>
    <author>tc={AC3E6EC7-C46B-4261-9BC0-099B61083380}</author>
    <author>tc={36988B51-6F9A-4E7E-90EA-C90B99379BD4}</author>
  </authors>
  <commentList>
    <comment ref="F4" authorId="0" shapeId="0" xr:uid="{D72A9747-2C1E-47F9-88AD-3DE383EEEA8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205EE161-F2CF-4ED3-8293-EA4397D08BB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AC3E6EC7-C46B-4261-9BC0-099B6108338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36988B51-6F9A-4E7E-90EA-C90B99379B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tc={531298F0-6D0F-4697-A09B-1B85D3C05198}</author>
    <author>tc={53BC26DF-0385-451E-8E93-8ACD6FE0FB62}</author>
    <author>tc={853AA4A4-D57D-4FE9-A33D-B3FAC3DDE8F7}</author>
    <author>tc={C7DCB633-CD25-4951-BA69-7915F3FF67D4}</author>
  </authors>
  <commentList>
    <comment ref="E4" authorId="0" shapeId="0" xr:uid="{531298F0-6D0F-4697-A09B-1B85D3C0519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53BC26DF-0385-451E-8E93-8ACD6FE0FB6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853AA4A4-D57D-4FE9-A33D-B3FAC3DDE8F7}">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C7DCB633-CD25-4951-BA69-7915F3FF67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tc={13F901A6-F9C5-4618-8E06-44D75F861154}</author>
    <author>tc={866AC28A-099E-417B-BE9C-930AB37AE0D9}</author>
    <author>tc={DB7E89B4-87D2-4E37-9FA7-6978737424FE}</author>
    <author>tc={8F7E7538-7D59-48FA-8D7C-DC0D6FA8383A}</author>
  </authors>
  <commentList>
    <comment ref="E4" authorId="0" shapeId="0" xr:uid="{13F901A6-F9C5-4618-8E06-44D75F86115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866AC28A-099E-417B-BE9C-930AB37AE0D9}">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DB7E89B4-87D2-4E37-9FA7-6978737424F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8F7E7538-7D59-48FA-8D7C-DC0D6FA8383A}">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tc={C2C40B92-6537-4FEA-8D65-8E0417E13926}</author>
    <author>tc={7E546E27-482E-45A7-B8EA-0486BBB5834B}</author>
    <author>tc={D031B6D7-A5A6-42DF-9D00-6437C99C2D76}</author>
    <author>tc={BFBBB290-B9B7-46DF-9393-647BC02BF3E8}</author>
  </authors>
  <commentList>
    <comment ref="F4" authorId="0" shapeId="0" xr:uid="{C2C40B92-6537-4FEA-8D65-8E0417E13926}">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7E546E27-482E-45A7-B8EA-0486BBB5834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D031B6D7-A5A6-42DF-9D00-6437C99C2D7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BFBBB290-B9B7-46DF-9393-647BC02BF3E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tc={F9171562-C50C-4755-881D-6BAF0D071BDD}</author>
    <author>tc={4C60EDF1-5005-4109-996D-89E174D1FEFF}</author>
    <author>tc={9CC10ABA-B327-4DAB-920C-F72A189DE988}</author>
    <author>tc={0562A533-E0B7-41C7-ADC4-A8E1B70F025F}</author>
  </authors>
  <commentList>
    <comment ref="F4" authorId="0" shapeId="0" xr:uid="{F9171562-C50C-4755-881D-6BAF0D071BD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4C60EDF1-5005-4109-996D-89E174D1FEF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9CC10ABA-B327-4DAB-920C-F72A189DE98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0562A533-E0B7-41C7-ADC4-A8E1B70F025F}">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tc={E851054A-2791-429B-876C-8B505399D619}</author>
    <author>tc={9FCF6741-6D97-4AA2-A9F2-BB954973FEDF}</author>
    <author>tc={095B2EDA-7D54-423B-8470-BC534FECC971}</author>
    <author>tc={CF6D553D-175E-4568-A4DA-B064C6B3D5B4}</author>
  </authors>
  <commentList>
    <comment ref="F4" authorId="0" shapeId="0" xr:uid="{E851054A-2791-429B-876C-8B505399D61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9FCF6741-6D97-4AA2-A9F2-BB954973FED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095B2EDA-7D54-423B-8470-BC534FECC9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CF6D553D-175E-4568-A4DA-B064C6B3D5B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tc={7FECF468-F026-4420-A0D6-D61A9D921C8F}</author>
    <author>tc={4CF0CFC6-4867-42AC-A2C9-C9FD14D58043}</author>
    <author>tc={7769E160-7A20-47AA-81F1-819F39CBE5F4}</author>
    <author>tc={A0C27C28-CCF6-4B80-A7D0-D17F41516899}</author>
  </authors>
  <commentList>
    <comment ref="E4" authorId="0" shapeId="0" xr:uid="{7FECF468-F026-4420-A0D6-D61A9D921C8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4CF0CFC6-4867-42AC-A2C9-C9FD14D58043}">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7769E160-7A20-47AA-81F1-819F39CBE5F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A0C27C28-CCF6-4B80-A7D0-D17F41516899}">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tc={7C4F9AC2-C787-4744-B5BA-4E23B204AA78}</author>
    <author>tc={A6511A12-8DFD-41AB-993B-13A19DA90FEF}</author>
    <author>tc={F8FB6095-E4D1-4BA1-8B1C-21E266361C71}</author>
    <author>tc={4DB4DD20-3044-4C07-8D96-4A2513839BBD}</author>
  </authors>
  <commentList>
    <comment ref="E4" authorId="0" shapeId="0" xr:uid="{7C4F9AC2-C787-4744-B5BA-4E23B204AA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A6511A12-8DFD-41AB-993B-13A19DA90FE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F8FB6095-E4D1-4BA1-8B1C-21E266361C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4DB4DD20-3044-4C07-8D96-4A2513839BB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tc={4BE718F3-6424-437F-BC55-3B39D5868B04}</author>
    <author>tc={0C939336-EB85-479C-9834-ADE5F85CC74A}</author>
    <author>tc={CD49529E-0444-46EF-8AA5-5F69453163B0}</author>
    <author>tc={7D7F8F4E-DE39-45D9-9FB8-205A04FF3BE4}</author>
  </authors>
  <commentList>
    <comment ref="F4" authorId="0" shapeId="0" xr:uid="{4BE718F3-6424-437F-BC55-3B39D5868B0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0C939336-EB85-479C-9834-ADE5F85CC74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CD49529E-0444-46EF-8AA5-5F69453163B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D7F8F4E-DE39-45D9-9FB8-205A04FF3BE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tc={C6D87969-95B6-4B07-B36B-034D222F455E}</author>
    <author>tc={3BC61200-2475-4BBF-8646-75183FF9B9A2}</author>
    <author>tc={61E0C389-297B-44CF-8D39-9AFD62E072CD}</author>
    <author>tc={62B9CAF2-4839-499A-A461-CC6B785FA102}</author>
  </authors>
  <commentList>
    <comment ref="F4" authorId="0" shapeId="0" xr:uid="{C6D87969-95B6-4B07-B36B-034D222F455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3BC61200-2475-4BBF-8646-75183FF9B9A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61E0C389-297B-44CF-8D39-9AFD62E072CD}">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62B9CAF2-4839-499A-A461-CC6B785FA102}">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tc={93B0142D-055A-4AF3-89F5-485AFE29AA7E}</author>
    <author>tc={4839D07F-FE30-4B94-AE05-4681E523D18B}</author>
    <author>tc={E048581B-F7A0-4259-B25B-D746B8F483D4}</author>
    <author>tc={765F4FBE-97F6-4FC7-A1A3-01B572070C03}</author>
  </authors>
  <commentList>
    <comment ref="F4" authorId="0" shapeId="0" xr:uid="{93B0142D-055A-4AF3-89F5-485AFE29AA7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4839D07F-FE30-4B94-AE05-4681E523D18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E048581B-F7A0-4259-B25B-D746B8F483D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65F4FBE-97F6-4FC7-A1A3-01B572070C03}">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tc={90CAB96F-FB7F-466C-B86E-0C0D3D1CC369}</author>
    <author>tc={71040D56-A2B7-494D-AD00-69F0B0C64EDD}</author>
    <author>tc={665BC428-4E9B-428A-9297-3E8B2AA9DD42}</author>
    <author>tc={703668A2-3CB1-477D-BC80-B6881F509066}</author>
  </authors>
  <commentList>
    <comment ref="F4" authorId="0" shapeId="0" xr:uid="{90CAB96F-FB7F-466C-B86E-0C0D3D1CC36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71040D56-A2B7-494D-AD00-69F0B0C64EDD}">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665BC428-4E9B-428A-9297-3E8B2AA9DD42}">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03668A2-3CB1-477D-BC80-B6881F509066}">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tc={89D71702-23BF-44BD-8FE4-49E6DA563278}</author>
    <author>tc={646540F7-1501-4C1B-8804-1069B02F65AA}</author>
    <author>tc={4949265C-A56B-4027-BB07-9216A9C1D10F}</author>
    <author>tc={1B8C4173-525F-493D-8CDA-FEBD8CDDFA7B}</author>
  </authors>
  <commentList>
    <comment ref="E4" authorId="0" shapeId="0" xr:uid="{89D71702-23BF-44BD-8FE4-49E6DA5632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646540F7-1501-4C1B-8804-1069B02F65A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4949265C-A56B-4027-BB07-9216A9C1D10F}">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1B8C4173-525F-493D-8CDA-FEBD8CDDFA7B}">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tc={3869A931-E600-4A5D-8906-6D709E5D39FD}</author>
    <author>tc={E991C403-AE83-4265-9EC8-697ACCF29F1E}</author>
    <author>tc={5F0251BB-26E1-47A1-8A86-83E4C8465D54}</author>
    <author>tc={ED96ACC4-0CC8-4180-BF21-0FBF1C21FA8C}</author>
  </authors>
  <commentList>
    <comment ref="E4" authorId="0" shapeId="0" xr:uid="{3869A931-E600-4A5D-8906-6D709E5D39F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E991C403-AE83-4265-9EC8-697ACCF29F1E}">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5F0251BB-26E1-47A1-8A86-83E4C8465D5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ED96ACC4-0CC8-4180-BF21-0FBF1C21FA8C}">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tc={02100FB6-9913-43A7-BBB0-1B43D8162A39}</author>
    <author>tc={276CBA5C-3C1C-4577-BCB2-FD9CE8FD0910}</author>
    <author>tc={9F4DF3B1-AC4B-43CA-B397-33D52F93A8D6}</author>
    <author>tc={83FDEA93-60E9-40DF-964A-530AFFF7DBCD}</author>
  </authors>
  <commentList>
    <comment ref="F4" authorId="0" shapeId="0" xr:uid="{02100FB6-9913-43A7-BBB0-1B43D8162A3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276CBA5C-3C1C-4577-BCB2-FD9CE8FD0910}">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9F4DF3B1-AC4B-43CA-B397-33D52F93A8D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83FDEA93-60E9-40DF-964A-530AFFF7DBC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tc={44D76C41-58CB-448C-A1C7-B908552E24E9}</author>
    <author>tc={FD16E840-9E24-4B01-9C37-4019E98BE9A4}</author>
    <author>tc={01B082A6-263D-44C1-94C5-C959DFB66E34}</author>
  </authors>
  <commentList>
    <comment ref="F4" authorId="0" shapeId="0" xr:uid="{44D76C41-58CB-448C-A1C7-B908552E24E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FD16E840-9E24-4B01-9C37-4019E98BE9A4}">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01B082A6-263D-44C1-94C5-C959DFB66E3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tc={D2881130-5567-40DB-A276-3AB031058CCF}</author>
    <author>tc={B260905F-8F2F-4D07-B0B1-FC8BEA5844A5}</author>
    <author>tc={FC99D6E8-C702-496F-8840-2787DA5595D8}</author>
  </authors>
  <commentList>
    <comment ref="F4" authorId="0" shapeId="0" xr:uid="{D2881130-5567-40DB-A276-3AB031058CC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B260905F-8F2F-4D07-B0B1-FC8BEA5844A5}">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FC99D6E8-C702-496F-8840-2787DA5595D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tc={692A04E2-0B41-430F-A9FC-27CDECC43EA9}</author>
    <author>tc={DF13AEDD-F47F-4BA1-9A04-AA17634E546B}</author>
    <author>tc={64DC4975-E470-4CBC-B7CD-D2855979578D}</author>
  </authors>
  <commentList>
    <comment ref="F4" authorId="0" shapeId="0" xr:uid="{692A04E2-0B41-430F-A9FC-27CDECC43EA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DF13AEDD-F47F-4BA1-9A04-AA17634E546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64DC4975-E470-4CBC-B7CD-D2855979578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tc={F56B6744-73C8-4706-A1E4-18C0B69C755B}</author>
    <author>tc={EBF522A0-0A85-4C9A-8F79-9A5248DE4E9C}</author>
    <author>tc={E4A3B0A5-5A26-4745-AB32-B584E6BB38C4}</author>
    <author>tc={C131D02F-032A-4F00-A496-814E9F331D47}</author>
  </authors>
  <commentList>
    <comment ref="F4" authorId="0" shapeId="0" xr:uid="{F56B6744-73C8-4706-A1E4-18C0B69C755B}">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EBF522A0-0A85-4C9A-8F79-9A5248DE4E9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E4A3B0A5-5A26-4745-AB32-B584E6BB38C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C131D02F-032A-4F00-A496-814E9F331D47}">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sharedStrings.xml><?xml version="1.0" encoding="utf-8"?>
<sst xmlns="http://schemas.openxmlformats.org/spreadsheetml/2006/main" count="3754" uniqueCount="576">
  <si>
    <t>FLOWCHART OF PROCESS NEED TO BE AGREED UPON AND DETAILED</t>
  </si>
  <si>
    <t>NATIONAL GRID BASELINE SECURITY REQUIREMENTS TEMPLATE FOR ALL PROJECTS CLASSIFIED AS HIGH</t>
  </si>
  <si>
    <r>
      <t xml:space="preserve">Section 1: </t>
    </r>
    <r>
      <rPr>
        <sz val="11"/>
        <rFont val="Arial"/>
        <family val="2"/>
      </rPr>
      <t>Please select your Classification Definitions before proceeding to Section 2.</t>
    </r>
  </si>
  <si>
    <t>PROJECT CLASSIFICATION DEFINTIONS [ ONE OR MORE MUST APPLY ]</t>
  </si>
  <si>
    <t>AVAILABILITY</t>
  </si>
  <si>
    <t>CONFIDENTIALITY</t>
  </si>
  <si>
    <t>INTEGRITY</t>
  </si>
  <si>
    <t>High - Operationally Critical rated systems</t>
  </si>
  <si>
    <t>High - Strictly Confidential classified data</t>
  </si>
  <si>
    <t>High - System of record data and its loss would mean a severe impact to the company to include regulatory or legal penalties</t>
  </si>
  <si>
    <t>Medium - System of record data and its loss would have a mild adverse impact on the company           </t>
  </si>
  <si>
    <r>
      <t xml:space="preserve">Section 2: </t>
    </r>
    <r>
      <rPr>
        <sz val="11"/>
        <rFont val="Arial"/>
        <family val="2"/>
      </rPr>
      <t>Totals section, no input here.</t>
    </r>
  </si>
  <si>
    <t>CLASSIFICATION</t>
  </si>
  <si>
    <t>COMPLEXITY</t>
  </si>
  <si>
    <t>TOTAL REQUIREMENTS</t>
  </si>
  <si>
    <t>COMPLETED REQUIREMENTS</t>
  </si>
  <si>
    <t>REQUIREMENTS NOT STARTED</t>
  </si>
  <si>
    <t>REQUIREMENTS NOT APPLICABLE</t>
  </si>
  <si>
    <t>REQUIREMENTS IN PROGRESS</t>
  </si>
  <si>
    <t>RISKS REGISTERED</t>
  </si>
  <si>
    <t>RISKS TO BE CONFIRMED</t>
  </si>
  <si>
    <t>RISKS NOT APPLICABLE</t>
  </si>
  <si>
    <t>RISKS IN PROGRESS</t>
  </si>
  <si>
    <r>
      <t>Section 3:</t>
    </r>
    <r>
      <rPr>
        <sz val="11"/>
        <rFont val="Arial"/>
        <family val="2"/>
      </rPr>
      <t xml:space="preserve"> Please fill out all rows to the right with information relevant to the project/program.</t>
    </r>
  </si>
  <si>
    <t>Program Name:</t>
  </si>
  <si>
    <t>Project Name:</t>
  </si>
  <si>
    <t>INVP Number:</t>
  </si>
  <si>
    <t>Go Live Date:</t>
  </si>
  <si>
    <t>Project Manager:</t>
  </si>
  <si>
    <t>Solution Architect:</t>
  </si>
  <si>
    <t>Security Business Process &amp; Integration Architect :</t>
  </si>
  <si>
    <t>Area of the Business this work is being completed for:</t>
  </si>
  <si>
    <t>Application Name</t>
  </si>
  <si>
    <t>Application ID Number</t>
  </si>
  <si>
    <t>Service Owner Name:</t>
  </si>
  <si>
    <t xml:space="preserve">SharePoint URL : </t>
  </si>
  <si>
    <t>Vendor Name:</t>
  </si>
  <si>
    <t>Vendor Security Contact:</t>
  </si>
  <si>
    <t xml:space="preserve">Phone #: </t>
  </si>
  <si>
    <t>Is this a CNI system?</t>
  </si>
  <si>
    <t>What part of CNI?</t>
  </si>
  <si>
    <t>What is the classification of the data stored within the application or system?</t>
  </si>
  <si>
    <t>Does the system or application store or process personal identifiable information (PII) that will fall under GDPR or US regulatory control</t>
  </si>
  <si>
    <t xml:space="preserve">Is this system accessible over the Internet either through a Cloud-Based Offering or through external systems managed by National Grid </t>
  </si>
  <si>
    <t>Is this system 3rd Party Hosted?</t>
  </si>
  <si>
    <t>Who is the hosting company?</t>
  </si>
  <si>
    <t xml:space="preserve">If yes, is there any shared infrastructure. Please state what this is. </t>
  </si>
  <si>
    <r>
      <t xml:space="preserve">Section 4: </t>
    </r>
    <r>
      <rPr>
        <sz val="11"/>
        <rFont val="Arial"/>
        <family val="2"/>
      </rPr>
      <t>Select "Yes" for each section that applies to your project.  Select "No" if the section does not apply.</t>
    </r>
  </si>
  <si>
    <t xml:space="preserve">Baseline Security Requirements Sections </t>
  </si>
  <si>
    <t xml:space="preserve">SERVER BSRs  [ NOTE : Use this tab for IaaS Solutions ] : 
This tab lists the Baseline Security Requirements for any Server(s) to be placed with the National Grid estate [ Corporate, CNI, OT, Azure ] </t>
  </si>
  <si>
    <t>Yes</t>
  </si>
  <si>
    <t>If YES, then Fill out the Blue Tab</t>
  </si>
  <si>
    <t xml:space="preserve">END USER DEVICES BSRs :
This tab lists the Baseline Security Requirements for any end user device ( laptop, desktop, mobile device, field device, etc. .. ) that will be placed with the National Grid estate [ Corporate, CNI, OT, Azure ] </t>
  </si>
  <si>
    <t>If YES, then Fill out the Orange Tab</t>
  </si>
  <si>
    <t xml:space="preserve">APPLICATION BSRs [ NOTE : Use this tab for IaaS Solutions ] : 
This tab lists the Baseline Security Requirements for any application to be installed within the National Grid estate [ Corporate, CNI, OT, Azure ] </t>
  </si>
  <si>
    <t>If YES, then Fill out the Green Tab</t>
  </si>
  <si>
    <t>SOFTWARE-AS-A-SERVICE (SaaS) and PLATFROM-AS-A-SERICE (PaaS) BSRs :
This tab lists the Baseline Security Requirements for any deployment of any 3rd party SaaS or PaaS solutions</t>
  </si>
  <si>
    <t>If YES, then Fill out the Purple Tab.</t>
  </si>
  <si>
    <t>NETWORK SECURITY BSRs :
This tab lists the Baseline Security Requirements for any deployment of any 3rd party IaaS solutions</t>
  </si>
  <si>
    <t>If YES, then Fill out the Grey Tab.</t>
  </si>
  <si>
    <t xml:space="preserve">SOFTWARE DEVELOPMENT BSRs :
This tab lists all the Baseline Security Requirements for any on-house application development that will be deployed in the production environment of the National Grid estate [ Corporate, CNI, OT, Azure ] </t>
  </si>
  <si>
    <t>If YES, then Fill out the Red Tab</t>
  </si>
  <si>
    <t>AUTONOMOUS DEVICES BSRs :
This tab lists all the Baseline Security Requirements for autonomous devices.</t>
  </si>
  <si>
    <t>If YES, then Fill out the Yellow Tab</t>
  </si>
  <si>
    <t>Please complete all relevant tabs based on the defined and identified business requirements ( Solution Vision , Conceptual Solution Architecture, &amp; Business Requirements Document )</t>
  </si>
  <si>
    <t>Baseline Security Requirements - End User Devices</t>
  </si>
  <si>
    <t>BSR REF. NO.</t>
  </si>
  <si>
    <t>STANDARD</t>
  </si>
  <si>
    <t>RE-OCCURRING TASK</t>
  </si>
  <si>
    <t>REQUIREMENT</t>
  </si>
  <si>
    <t>CONTROL ID</t>
  </si>
  <si>
    <t>STATUS</t>
  </si>
  <si>
    <t>WAS A FINDING REGISTERED?</t>
  </si>
  <si>
    <t>BSR vs. ADDITIONAL REQUIREMENT</t>
  </si>
  <si>
    <t>SECURITY TOWER REFERENCED TO ADDRESS BSR</t>
  </si>
  <si>
    <t>TECHNOLOGY CAPABILITY (STANDARD)</t>
  </si>
  <si>
    <t>IMPLEMENTATION DETAILS</t>
  </si>
  <si>
    <t>BSR-ENC-1</t>
  </si>
  <si>
    <t>Whole Disk Encryption</t>
  </si>
  <si>
    <t>NO</t>
  </si>
  <si>
    <t>DSC-3</t>
  </si>
  <si>
    <t>NOT STARTED</t>
  </si>
  <si>
    <t>TBC</t>
  </si>
  <si>
    <t>BSR</t>
  </si>
  <si>
    <t>PLATFORM - ENDPOINT</t>
  </si>
  <si>
    <t>BSR-EPP-1</t>
  </si>
  <si>
    <t>Malware Protection</t>
  </si>
  <si>
    <t>YES</t>
  </si>
  <si>
    <t>CTM-1   CTM-2
CTM-5   CTM-6
CTM-7   CTM-11
CTM-12   CTM-13
CTM-14   DSC-6                       IRP-1   IRP-2
IRP-3   IRP-5
IRP-7   SSA-13</t>
  </si>
  <si>
    <t>BSR-SBASE-1</t>
  </si>
  <si>
    <t>Security               Baselines</t>
  </si>
  <si>
    <t>ACC-4   AWT-2
BCP-6   CFG-2
CFG-3   CFG-4
CHM-3   CHM-4
CHM-5   CHM-7
CHM-10   CHM-12
CHM-16   DRP-4
DRP-5   PAM-5
PER-1   PER-2
PER-3   PER-4
PER-5   PER-6
PER-7   RSK-5
SSA-8   TVM-3
TVM-4   TVM-5</t>
  </si>
  <si>
    <t>BSR-INV-1</t>
  </si>
  <si>
    <t>Inventory</t>
  </si>
  <si>
    <t>CTM-1    CTM-2
CTM-5    CTM-6
CTM-7    CTM-11
CTM-12   CTM-13
CTM-14   DSC-6
IRP-1    IRP-2
IRP-3    IRP-5
IRP-7    SSA-13</t>
  </si>
  <si>
    <t>VULNERABILITY</t>
  </si>
  <si>
    <t>BSR-REG-1</t>
  </si>
  <si>
    <t>Regulated Data Security Controls</t>
  </si>
  <si>
    <t xml:space="preserve">NOT APPLICABLE </t>
  </si>
  <si>
    <t>NOT APPLICABLE</t>
  </si>
  <si>
    <t>BSR-PLF-1</t>
  </si>
  <si>
    <t xml:space="preserve">Least Functionality </t>
  </si>
  <si>
    <t>ACC-16
CFG-4</t>
  </si>
  <si>
    <t>IAM</t>
  </si>
  <si>
    <t>BSR-IDS-1</t>
  </si>
  <si>
    <t>Intrusion Detection</t>
  </si>
  <si>
    <t>CHM-10   CHM-16
CTM-1   CTM-2
CTM-5   CTM-6         CTM-7   ASM-2
CHM-3   CHM-4
CHM-5   CTM-11   CTM-12   CTM-13   CTM-14   SSA-13
LOG-2   PHY-3
PHY-8   IRP-1
IRP-2   IRP-3
IRP-5   IRP-7</t>
  </si>
  <si>
    <t>NEW REQUIREMENT</t>
  </si>
  <si>
    <t>RISK TOTALS</t>
  </si>
  <si>
    <t>COMPLETED/YES</t>
  </si>
  <si>
    <t>NOT STARTED/TBC</t>
  </si>
  <si>
    <t>IN PROGRESS</t>
  </si>
  <si>
    <t>TOTAL</t>
  </si>
  <si>
    <t>Baseline Security Requirements - Server</t>
  </si>
  <si>
    <t>BSR-VM-1</t>
  </si>
  <si>
    <t>Vulnerability Management</t>
  </si>
  <si>
    <t>TVM-3   TVM-4
TVM-5</t>
  </si>
  <si>
    <t>BSR-NET-1</t>
  </si>
  <si>
    <t>Firewall</t>
  </si>
  <si>
    <t>CTM-4   NET-2
NET-8</t>
  </si>
  <si>
    <t>PLATFORM - SERVER</t>
  </si>
  <si>
    <t>BSR-AAA-1</t>
  </si>
  <si>
    <t>Credentials and Access Control</t>
  </si>
  <si>
    <t xml:space="preserve">ACC-2   ACC-3
ACC-4   ACC-5
ACC-8   ACC-9
ACC-12   ACC-13
IDA-1    IDA-2
IDA-3    IDA-4
IDA-6   IDA-7
IDA-8   </t>
  </si>
  <si>
    <t>BSR-LOG-1</t>
  </si>
  <si>
    <t>Centralized Logging</t>
  </si>
  <si>
    <t>CTM-1   CTM-2
CTM-5   CTM-6
CTM-7   CTM-11
CTM-12   CTM-13
CTM-14   IRP-1
IRP-2   IRP-3
IRP-5   IRP-7</t>
  </si>
  <si>
    <t>SOAR</t>
  </si>
  <si>
    <t>CTM-1   CTM-2
CTM-5   CTM-6
CTM-7   CTM-11
CTM-12   CTM-13
CTM-14   IRP-1
IRP-2   IRP-3
IRP-5   IRP-7
SSA-13</t>
  </si>
  <si>
    <t>BSR-PSEC-1</t>
  </si>
  <si>
    <t>Physical Protection</t>
  </si>
  <si>
    <t>PHY-2   PHY-3
PHY-4   PHY-5
PHY-6   PHY-8</t>
  </si>
  <si>
    <t>PHYSICAL SECURITY</t>
  </si>
  <si>
    <t>BSR-AAA-2 </t>
  </si>
  <si>
    <t>Dedicated Admin Workstation</t>
  </si>
  <si>
    <t>Security          Baseline                 ( NON-CNI )</t>
  </si>
  <si>
    <t>BSR-PEN-1</t>
  </si>
  <si>
    <t xml:space="preserve">Penetration             Testing </t>
  </si>
  <si>
    <t>TVM-3
TVM-4
TVM-5</t>
  </si>
  <si>
    <t>BSR-SUP-1</t>
  </si>
  <si>
    <t>Supported Systems</t>
  </si>
  <si>
    <t>To be Mapped</t>
  </si>
  <si>
    <t>BSR-ENV-1.1</t>
  </si>
  <si>
    <t>Environment Setup - Prod </t>
  </si>
  <si>
    <t>BSR-ENV-1.2</t>
  </si>
  <si>
    <t>Environment Setup - Dev </t>
  </si>
  <si>
    <t>BSR-ENV-1.3</t>
  </si>
  <si>
    <t>Environment Setup - UAT </t>
  </si>
  <si>
    <t>BSR-ENV-1.4</t>
  </si>
  <si>
    <t>Environment Setup - Data </t>
  </si>
  <si>
    <t>BSR-PKI-1</t>
  </si>
  <si>
    <t>Public Key Infrastructure Certificates</t>
  </si>
  <si>
    <t>DSC-3                          DSC-4                             DSC-5</t>
  </si>
  <si>
    <t>DATA PROTECTION</t>
  </si>
  <si>
    <t>BSR-PKI-2</t>
  </si>
  <si>
    <t>Encryption</t>
  </si>
  <si>
    <t>Baseline Security Requirements - Application</t>
  </si>
  <si>
    <t>NETWORK SECURITY</t>
  </si>
  <si>
    <t>BSR-AAA-4</t>
  </si>
  <si>
    <t>Role Based Access Control</t>
  </si>
  <si>
    <t>ACC-4   BCP-3
BCP-4   CSM-4
DRP-2   DRP-8
SSA-8</t>
  </si>
  <si>
    <t>BSR-AAA-5</t>
  </si>
  <si>
    <t>Two-Step Authentication</t>
  </si>
  <si>
    <t>ACC-19   ACC-20
SSA-11   MAT-5              NET-13</t>
  </si>
  <si>
    <t>BSR-SDLC-1</t>
  </si>
  <si>
    <t>Secure Software Development</t>
  </si>
  <si>
    <t>ACC-7                             CHM-11</t>
  </si>
  <si>
    <t>Security Baselines</t>
  </si>
  <si>
    <t>BSR-IR-1</t>
  </si>
  <si>
    <t xml:space="preserve">Incident Response Plan </t>
  </si>
  <si>
    <t>ACC-1   ARC-1
ASR-1   ASR-6
AWT-1   BCP-1
CFG-1   CSM-1
CSM-2   DRP-1
DSC-1   IDA-1
IRP-1   LOG-1
MAT-1   PER-1
PHY-1   RSK-1
SSA-1   TVM-1</t>
  </si>
  <si>
    <t>COMPLIANCE</t>
  </si>
  <si>
    <t>BSR-AAA-6</t>
  </si>
  <si>
    <t>User Session Control</t>
  </si>
  <si>
    <t>ACC-18                     ACC-19</t>
  </si>
  <si>
    <t xml:space="preserve">Penetration Testing </t>
  </si>
  <si>
    <t>BSR-AAA-7</t>
  </si>
  <si>
    <t>Permitted Actions Without Identification or Authentication</t>
  </si>
  <si>
    <t>ACC-15
ACC-16
IDA-9</t>
  </si>
  <si>
    <t>BSR-NERC-1</t>
  </si>
  <si>
    <t>NERC-CIP</t>
  </si>
  <si>
    <t>FAC-2
FAC-3
FAC-4
FAC-5</t>
  </si>
  <si>
    <t xml:space="preserve">RISK TOTALS </t>
  </si>
  <si>
    <t xml:space="preserve">Baseline Security Requirements - Software-as-a Solution ( SaaS ) and/or Platform-as-a- Solution ( PaaS ) </t>
  </si>
  <si>
    <t>BSR-PROSEL-1</t>
  </si>
  <si>
    <t>Product Selection</t>
  </si>
  <si>
    <t>BSR-AAA-8</t>
  </si>
  <si>
    <t>Credential and Key Management</t>
  </si>
  <si>
    <t>Security                          Baseline</t>
  </si>
  <si>
    <t>PLATFORM - CLOUD</t>
  </si>
  <si>
    <t>Incident Response Plan</t>
  </si>
  <si>
    <t>BSR-DLP-1</t>
  </si>
  <si>
    <t xml:space="preserve">Enable Data Leakage Protection </t>
  </si>
  <si>
    <t>ACC-5   ACC-10
AWT-2   CTM-1
CTM-4   CTM-5
CTM-6   CTM-11
CTM-12   CTM-13
CTM-14   DSC-3
DSC-4   NET-2
NET-8   PER-3
PER-4</t>
  </si>
  <si>
    <t>Penetration Testing</t>
  </si>
  <si>
    <t>Baseline Security Requirements - Network Security</t>
  </si>
  <si>
    <t>BSR-NET-2</t>
  </si>
  <si>
    <t>Zone Selection : Placement of Assets In The Right Zone</t>
  </si>
  <si>
    <t>NET-2</t>
  </si>
  <si>
    <t>BSR-NET-3</t>
  </si>
  <si>
    <t>Subnet Selection :
Placement of Asset in the Right Subnet</t>
  </si>
  <si>
    <t>NET-3</t>
  </si>
  <si>
    <t>BSR-NET-4</t>
  </si>
  <si>
    <t>Central Application Authentication : Web Authentication using NG ADFS or NG OAUTH</t>
  </si>
  <si>
    <t>NET-4</t>
  </si>
  <si>
    <t>BSR-NET-5</t>
  </si>
  <si>
    <t>Principle of Least Privilege :             Firewall NG Responsibility to Provide Right Information</t>
  </si>
  <si>
    <t>NET-5</t>
  </si>
  <si>
    <t>BSR-NET-6</t>
  </si>
  <si>
    <t>Secure Compliant Connectivity  : Outbound Connectivity</t>
  </si>
  <si>
    <t>NET-6</t>
  </si>
  <si>
    <t>BSR-NET-7</t>
  </si>
  <si>
    <t>Secure Compliant Connectivity : Inbound
Connectivity</t>
  </si>
  <si>
    <t>NET-7</t>
  </si>
  <si>
    <t>BSR-NET-8</t>
  </si>
  <si>
    <t>Device Authentication:
Inbound
Connectivity
(Client certificate Verification)</t>
  </si>
  <si>
    <t>NET-8</t>
  </si>
  <si>
    <t>BSR-NET-9</t>
  </si>
  <si>
    <t>Secure Compliant Connectivity : Connectivity from Off-shore                  (Non-NG device)</t>
  </si>
  <si>
    <t>NET-9</t>
  </si>
  <si>
    <t>BSR-NET-10</t>
  </si>
  <si>
    <t>Secure Compliant Connectivity : Connectivity from on-shore                     (NG device)</t>
  </si>
  <si>
    <t>NET-10</t>
  </si>
  <si>
    <t>BSR-NET-11</t>
  </si>
  <si>
    <t>Secure Compliant Connectivity :            CNI Integration</t>
  </si>
  <si>
    <t>NET-11</t>
  </si>
  <si>
    <t>WAS A RISK REGISTERED?</t>
  </si>
  <si>
    <t>ACC-19   ACC-20
NET-13   SSA-11</t>
  </si>
  <si>
    <t>ACC-4   CTM-1
CTM-2   CTM-5
CTM-6   CTM-11
CTM-12   CTM-13
CTM-14   SSA-3
SSA-8</t>
  </si>
  <si>
    <t>AWT-3   BCP-3
BCP-4   BCP-7
DRP-2   DRP-3
DRP-4   DRP-8
IRP-1   IRP-2
IRP-3   IRP-5</t>
  </si>
  <si>
    <t>CSIRT</t>
  </si>
  <si>
    <t>Baseline Security Requirements - Software Development</t>
  </si>
  <si>
    <t>Identified Secure Code Framework</t>
  </si>
  <si>
    <t xml:space="preserve">All software development must use industry standard secure code development practices and methodologies,
</t>
  </si>
  <si>
    <t>ARC-2</t>
  </si>
  <si>
    <t>SECURE DEVOPS</t>
  </si>
  <si>
    <t xml:space="preserve">Development Environment </t>
  </si>
  <si>
    <t>There is an established development environment accessible only to the designated code development staff only</t>
  </si>
  <si>
    <t>ACC-7
CHM-11</t>
  </si>
  <si>
    <t xml:space="preserve">Test Environment </t>
  </si>
  <si>
    <t>There is an established test environment accessible to  Code/Software Integrators &amp; Security Testers only</t>
  </si>
  <si>
    <t>CHM-7
CHM-11</t>
  </si>
  <si>
    <t xml:space="preserve">Production Environment </t>
  </si>
  <si>
    <t>There is an established production environment accessible to Users only</t>
  </si>
  <si>
    <t>CHM-11</t>
  </si>
  <si>
    <t>Environment Separation</t>
  </si>
  <si>
    <t xml:space="preserve">All development, test, and production environments shall be established and separated  ( logically &amp; physically ) to reduce the risks of unauthorized access or changes to the operational system;
</t>
  </si>
  <si>
    <t xml:space="preserve">Acceptance Testing </t>
  </si>
  <si>
    <t>The will be a documented and approved acceptance test process that must include :
1) Evidence that installation of the new system will not adversely affect existing infrastructure or systems, particularly at peak processing times, such as month end;
2) Evidence that consideration has been given to the effect the new system has on the overall security of National Grid’s information assets and its level of compliance with the National Grid Information Security Management Policy.</t>
  </si>
  <si>
    <t xml:space="preserve">CHM-6                </t>
  </si>
  <si>
    <t>Software Testing</t>
  </si>
  <si>
    <t>There will be documented testing procedures that will ensure that adverse effects on any production environment or its operation are minimized</t>
  </si>
  <si>
    <t xml:space="preserve">Software Development Tool </t>
  </si>
  <si>
    <t>Ensure that all compilers, editors, and other development tools or system utilities shall not be accessible from production systems</t>
  </si>
  <si>
    <t>CFG-6</t>
  </si>
  <si>
    <t>Test and Production Environment Emulation</t>
  </si>
  <si>
    <t>Ensure that the test system environment shall emulate the production environment as closely as possible</t>
  </si>
  <si>
    <t>TVM-3</t>
  </si>
  <si>
    <t>Proper File Naming Convention</t>
  </si>
  <si>
    <t>Ensure that the file naming conventions shall clearly indicate the status of development, test, and production files</t>
  </si>
  <si>
    <t>Data Protection</t>
  </si>
  <si>
    <t xml:space="preserve">All data residing on the production environment must be properly masked or obfuscated before being copied/migrated to the test environment. Development data will only have mock production data 
</t>
  </si>
  <si>
    <t>Code Management</t>
  </si>
  <si>
    <t>Ensure there is an established process that controls access to the pre-production &amp; production source and/or binary code must be secure to the strictly confidential classification to include : 
a) Code is stored in a National Grid controlled code vault and placed under version control.
b) Where the code is critical to business operations, code escrow agreements must be put in place.</t>
  </si>
  <si>
    <t>Least Privilege</t>
  </si>
  <si>
    <t>Each user and program should operate using the fewest privileges possible, so as to limit the damage from an accident, error, or attack. The internals of programs should be split into portions or modules, with only smallest portion of a program which needs those privileges should have them</t>
  </si>
  <si>
    <t>ACC-16</t>
  </si>
  <si>
    <t>Sandbox Processes</t>
  </si>
  <si>
    <t>Least Common Mechanism</t>
  </si>
  <si>
    <t>Minimize the amount and use of shared mechanisms (e.g. use of the /tmp or /var/tmp directories). Shared objects provide potentially dangerous channels for information flow and unintended interactions such as race conditions.</t>
  </si>
  <si>
    <t xml:space="preserve">Simplicity of Design </t>
  </si>
  <si>
    <t xml:space="preserve">Validate Input &amp; Output </t>
  </si>
  <si>
    <t>Ensure there is a process established that all tests all untrusted input and output, especially SQL strings using an ‘Accept Known Good’ whitelist approach.</t>
  </si>
  <si>
    <t>TVM-4</t>
  </si>
  <si>
    <t>Fail-Fast, Recover Fast</t>
  </si>
  <si>
    <t>Programs located within the DMZ policy domain must fail-fast ( i.e. be designed to stop normal operation rather than attempt to continue a possibly flawed process). Upon failure, which must be fail-safe, rapid recovery of the processes(s) from a known good state should be designed for. The error should be trapped and logged, and appropriately secured as it may contain highly confidential information. Attempting to trap errors or fault conditions may lead to additional fault states or errors.</t>
  </si>
  <si>
    <t>Minimize Unsafe String and Buffer Locations</t>
  </si>
  <si>
    <t>Always use robust and secure string, integer and buffer functions in standard libraries. For example the Windows Software Development Kit (SDK) has a number of safe libraries that are typesafe such as IntSafe. Build routines should be set to reject or warn on unsafe function usage.</t>
  </si>
  <si>
    <t xml:space="preserve">Code Analysis &amp; Code Audit </t>
  </si>
  <si>
    <t>Static code analysis shall be carried out prior to deployment into production or operation. Any flaws discovered shall be mitigated appropriately. Dynamic code analysis should be used if the threat model requires it.</t>
  </si>
  <si>
    <t xml:space="preserve">Use Standard Security Protocols, Software &amp; Algorithms </t>
  </si>
  <si>
    <t>Ensure wherever possible industry standard, security hardened, libraries &amp; packages will be used. Where this is not possible a risk based code review must be performed and appropriate mitigations implemented.</t>
  </si>
  <si>
    <t>CTM-4   
NET-2
NET-8</t>
  </si>
  <si>
    <t>BSR-AAA-2</t>
  </si>
  <si>
    <t>CTM-1   CTM-2
CTM-5   CTM-6
CTM-7   CTM-11
CTM-12   CTM-13
CTM-14   DSC-6                      
 IRP-1   IRP-2
IRP-3   IRP-5
IRP-7   SSA-13</t>
  </si>
  <si>
    <t>Security Baseline ( NON-CNI )</t>
  </si>
  <si>
    <t>DSC-3
DSC-4
DSC-5</t>
  </si>
  <si>
    <t>DSC-3 
DSC-4
DSC-5</t>
  </si>
  <si>
    <t>Paul Bamford</t>
  </si>
  <si>
    <t>Internally</t>
  </si>
  <si>
    <t>Internal</t>
  </si>
  <si>
    <t>BritNed</t>
  </si>
  <si>
    <t>COMPLETED</t>
  </si>
  <si>
    <t>LOW</t>
  </si>
  <si>
    <t>No</t>
  </si>
  <si>
    <t>Marc Mandel</t>
  </si>
  <si>
    <t>Externally</t>
  </si>
  <si>
    <t>External</t>
  </si>
  <si>
    <t>Data Management</t>
  </si>
  <si>
    <t>MEDIUM</t>
  </si>
  <si>
    <t>ADDITIONAL REQUIREMENT</t>
  </si>
  <si>
    <t>Peter Shuutack</t>
  </si>
  <si>
    <t>ETO</t>
  </si>
  <si>
    <t>HIGH</t>
  </si>
  <si>
    <t>Grain LNG</t>
  </si>
  <si>
    <t>GTO</t>
  </si>
  <si>
    <t>Infrastructure Solution Delivery</t>
  </si>
  <si>
    <t>Metering</t>
  </si>
  <si>
    <t>NG Smart</t>
  </si>
  <si>
    <t>Other</t>
  </si>
  <si>
    <t>Security</t>
  </si>
  <si>
    <t>Smartgrid</t>
  </si>
  <si>
    <t>System Operator</t>
  </si>
  <si>
    <t>UK CNI Electricity</t>
  </si>
  <si>
    <t>UK CNI Gas</t>
  </si>
  <si>
    <t>US Capital Delivery</t>
  </si>
  <si>
    <t>US CNI Gas</t>
  </si>
  <si>
    <t>US CNI Substations</t>
  </si>
  <si>
    <t>US Customer Ops</t>
  </si>
  <si>
    <t>US Electric</t>
  </si>
  <si>
    <t>US Finance &amp; Business Services</t>
  </si>
  <si>
    <t>US Gas</t>
  </si>
  <si>
    <t>US Group Functions IS</t>
  </si>
  <si>
    <t>US Transmission</t>
  </si>
  <si>
    <t>US Ventures</t>
  </si>
  <si>
    <t>US Wholesale Markets</t>
  </si>
  <si>
    <t>N/A</t>
  </si>
  <si>
    <t>STRICTLY CONFIDENTIAL</t>
  </si>
  <si>
    <t>Server MSRs</t>
  </si>
  <si>
    <t>(H)</t>
  </si>
  <si>
    <t>Availability</t>
  </si>
  <si>
    <t>Confidentiality</t>
  </si>
  <si>
    <t>Integrity</t>
  </si>
  <si>
    <r>
      <t>UK</t>
    </r>
    <r>
      <rPr>
        <sz val="11"/>
        <color rgb="FF000000"/>
        <rFont val="Calibri"/>
        <family val="2"/>
        <scheme val="minor"/>
      </rPr>
      <t xml:space="preserve"> GSO CNI</t>
    </r>
  </si>
  <si>
    <t>CONFIDENTIAL</t>
  </si>
  <si>
    <t>End User Devices MSRs</t>
  </si>
  <si>
    <t>(M)</t>
  </si>
  <si>
    <t>Low - Efficiency &amp; Core rated systems</t>
  </si>
  <si>
    <t>Low - Public &amp; Internal Use classified data</t>
  </si>
  <si>
    <t>Low - The data is a copy of existing data and so its loss or corruption will have no impact on the business</t>
  </si>
  <si>
    <r>
      <t>UK</t>
    </r>
    <r>
      <rPr>
        <sz val="11"/>
        <color rgb="FF000000"/>
        <rFont val="Calibri"/>
        <family val="2"/>
        <scheme val="minor"/>
      </rPr>
      <t xml:space="preserve"> ESO CNI</t>
    </r>
  </si>
  <si>
    <t>INTERNAL USE</t>
  </si>
  <si>
    <t>Application MSRs</t>
  </si>
  <si>
    <t>Medium - Critical rated systems</t>
  </si>
  <si>
    <t>Medium - Confidential classified data</t>
  </si>
  <si>
    <r>
      <t>UK</t>
    </r>
    <r>
      <rPr>
        <sz val="11"/>
        <color rgb="FF000000"/>
        <rFont val="Calibri"/>
        <family val="2"/>
        <scheme val="minor"/>
      </rPr>
      <t xml:space="preserve"> SO CNI (Shared)</t>
    </r>
  </si>
  <si>
    <t>PUBLIC</t>
  </si>
  <si>
    <t>SaaS - PaaS MSRs</t>
  </si>
  <si>
    <t>US EMS</t>
  </si>
  <si>
    <t>OPERATIONAL TECHNOLOGY</t>
  </si>
  <si>
    <t>Network Security MSRs</t>
  </si>
  <si>
    <t>US GMS</t>
  </si>
  <si>
    <t>Software Development MSRs</t>
  </si>
  <si>
    <t>US NORTHPORT</t>
  </si>
  <si>
    <t>US SANDY POND</t>
  </si>
  <si>
    <t>US DSCADA</t>
  </si>
  <si>
    <t>ENGINEERS</t>
  </si>
  <si>
    <t>Formulas below populate values for tower composition chart.  Counts how many times each tower may be needed (doesn't count BSRs marked as N/A)</t>
  </si>
  <si>
    <t>Server Tab</t>
  </si>
  <si>
    <t>Applications Tab</t>
  </si>
  <si>
    <t>SaaS - PaaS Tab</t>
  </si>
  <si>
    <t>Network Security Tab</t>
  </si>
  <si>
    <t>Software Development Tab</t>
  </si>
  <si>
    <t>Autonomous Tab</t>
  </si>
  <si>
    <t>End User Devices Tab</t>
  </si>
  <si>
    <t>Forumlas below count how many risks are in progress (Risk registered column must be in progress, and each row is for each of the towers)</t>
  </si>
  <si>
    <t>Forumlas below count how many risks have been registered (Risk registered column must be yes, and each row is for each of the towers)</t>
  </si>
  <si>
    <t>CTM-4
NET-2
NET-8</t>
  </si>
  <si>
    <t>Central Application Authentication : Web Authentication using NG Azure ADor NG OAUTH</t>
  </si>
  <si>
    <t>Baseline Security Requirements - Autonomous Devices</t>
  </si>
  <si>
    <t>Ensure that the vendor's autonomous device has an encrypted hard drive whose cipher, length and type aligns with National Grid's approved encryption standards</t>
  </si>
  <si>
    <t>DSC-3
DSC-5</t>
  </si>
  <si>
    <t>For any vendor that will be taking data collected at National Grid sites for storage/processing/hosting, they must possess an ISO 27001 and their data center must posssess a SOC 2 Type II Certification</t>
  </si>
  <si>
    <t>BSR-REG-2</t>
  </si>
  <si>
    <t>Access to Regulated Facitlities and Sites</t>
  </si>
  <si>
    <r>
      <rPr>
        <b/>
        <sz val="10"/>
        <rFont val="Calibri"/>
        <family val="2"/>
        <scheme val="minor"/>
      </rPr>
      <t>US Only</t>
    </r>
    <r>
      <rPr>
        <sz val="10"/>
        <rFont val="Calibri"/>
        <family val="2"/>
        <scheme val="minor"/>
      </rPr>
      <t xml:space="preserve"> : Ensure all vendor employees/contractors who require access to NERC-CIP sites complete the required NERC-CIP training, except during CIP Exceptional Circumstances</t>
    </r>
  </si>
  <si>
    <t>ACC-5.2</t>
  </si>
  <si>
    <t xml:space="preserve">Ensure that the CyberSecurity Boliler Plate Exhibit referncing how Personal Information is treated by the vendor is included in the Agreement between the Vendor and National Grid </t>
  </si>
  <si>
    <t>CSM-4</t>
  </si>
  <si>
    <r>
      <rPr>
        <b/>
        <sz val="10"/>
        <rFont val="Calibri"/>
        <family val="2"/>
        <scheme val="minor"/>
      </rPr>
      <t xml:space="preserve">US Only </t>
    </r>
    <r>
      <rPr>
        <sz val="10"/>
        <rFont val="Calibri"/>
        <family val="2"/>
        <scheme val="minor"/>
      </rPr>
      <t xml:space="preserve">: Ensure that the CyberSecurity Boliler Plate Exhibit referncing how CEII Information is treated by the vendor is included in the Agreement between the Vendor and National Grid </t>
    </r>
  </si>
  <si>
    <t>BSR-INV-2</t>
  </si>
  <si>
    <t>Redployment of Information Assets</t>
  </si>
  <si>
    <t>If the device in question is not permenantly assigned to National Grid, then the vendor will ensure the information stored on it shall be destroyed, deleted or overwritten, using techniques approved by the Data Security Tower before the vendor deploys it to another customer's facility</t>
  </si>
  <si>
    <t>DSC-10</t>
  </si>
  <si>
    <t>Ensure the vendor and the National Grid business unit have an established incident response plan that covers any information security breaches, personal injury and property damage and documented steps that ensure stakeholders are trained periodically</t>
  </si>
  <si>
    <t>IRP-8</t>
  </si>
  <si>
    <t>BSR-LOG-2</t>
  </si>
  <si>
    <t>Time Stamps &amp; Time Synchronization</t>
  </si>
  <si>
    <t xml:space="preserve">Ensure all autonomous devices assgined to a facility that capture video, still imagery, and audio use an approved time server and that they are synced to it </t>
  </si>
  <si>
    <t>LOG-3</t>
  </si>
  <si>
    <t>BSR-PSEC-2</t>
  </si>
  <si>
    <t>Suspicious Activity Detection</t>
  </si>
  <si>
    <t xml:space="preserve">For all autonomous systems assigned to a facility, ensure that the following procedures are implemented:
1) Monitor the physical condition of the device to ensure no tampering has been attempted
2) Establish a procedure to identify and address any type of anomalous activity performed by the device
3) Review a summary of security-related event logs/data periodically </t>
  </si>
  <si>
    <t>PHY-6</t>
  </si>
  <si>
    <t>PHYSICAL</t>
  </si>
  <si>
    <t>If the device in question is not permenantly assigned to National Grid, then the vendor will ensure the information stored on it shall be destroyed, deleted or overwritten, using techniques approved by the Data Security Tower befroe the vendor deploys it to another customer's facility</t>
  </si>
  <si>
    <t xml:space="preserve">Ensure that the CyberSecurity Addendum ( Exhibit to be included in the SOW ) referencing how Personal Information is treated by the vendor is included in the agreement between the Vendor and National Grid </t>
  </si>
  <si>
    <r>
      <rPr>
        <b/>
        <sz val="10"/>
        <rFont val="Calibri"/>
        <family val="2"/>
        <scheme val="minor"/>
      </rPr>
      <t xml:space="preserve">US Only </t>
    </r>
    <r>
      <rPr>
        <sz val="10"/>
        <rFont val="Calibri"/>
        <family val="2"/>
        <scheme val="minor"/>
      </rPr>
      <t xml:space="preserve">: Ensure that the CEII Information Addendum ( Exhibit to be included in the SOW ) is treated by the vendor is included in the agreement between the Vendor and National Grid </t>
    </r>
  </si>
  <si>
    <t>If the device in question is not permanently assigned to National Grid, then the vendor will ensure the information stored on it shall be destroyed, deleted or overwritten, using techniques approved by the Data Security Tower before the vendor deploys it to another customer's facility</t>
  </si>
  <si>
    <t>Ensure the vendor and the National Grid business unit have an established incident response plan that covers any information around security breaches, personal injury and property damage and documented steps that ensure stakeholders are trained periodically</t>
  </si>
  <si>
    <t xml:space="preserve">SOLUTION PATTERN - IDENTIFY THE SYSTEMS, SERVICES, &amp; THE SECURITY CONTROLS IMPLEMENTED IN THIS SOLUTION </t>
  </si>
  <si>
    <t>INSERT VISIO DIAGRAM IN THE BOX BELOW</t>
  </si>
  <si>
    <t>Issue Control</t>
  </si>
  <si>
    <t>Issue</t>
  </si>
  <si>
    <t>Document Title</t>
  </si>
  <si>
    <t>Baseline Security Requirements</t>
  </si>
  <si>
    <t>Revision History</t>
  </si>
  <si>
    <t>Date</t>
  </si>
  <si>
    <t>Author</t>
  </si>
  <si>
    <t>Comments</t>
  </si>
  <si>
    <t>V1.0</t>
  </si>
  <si>
    <t>Janaury 6th, 2019</t>
  </si>
  <si>
    <t>Peter Shattuck</t>
  </si>
  <si>
    <t>First Draft</t>
  </si>
  <si>
    <t>v1.1</t>
  </si>
  <si>
    <t>January 16th. 2019</t>
  </si>
  <si>
    <t>Modified NSR's , Fixed Cells, Added Tower Radar Chart</t>
  </si>
  <si>
    <t>V1.2</t>
  </si>
  <si>
    <t>January 23rd. 2019</t>
  </si>
  <si>
    <t>Cleaned up cells, Fixed Cell Formulas</t>
  </si>
  <si>
    <t>v1.3</t>
  </si>
  <si>
    <t>January 24th, 2020</t>
  </si>
  <si>
    <t>Added How-To Column, Added 2 new Towers and updated SOAR Tower lead, updated Radar Chart</t>
  </si>
  <si>
    <t>V1.35</t>
  </si>
  <si>
    <t>January 27th 2020</t>
  </si>
  <si>
    <t>William Haynes</t>
  </si>
  <si>
    <t>Added Suffixes to sheets L, M, H &amp; compiled sheets into single document. 
Modified Data processing formulae to single set of cells to update chart.
Added Macro filtering on entry fields - hides/unhides sheets as applicable and updates chart pointer.</t>
  </si>
  <si>
    <t>V1.4</t>
  </si>
  <si>
    <t>January 28th 2020</t>
  </si>
  <si>
    <t>Updated General Information Formula to modify header and CIA information.
Added new columns to LMH MSRs
Updated Chart and Data Processing Tabs to correctly draw information.
All References to MSRs changed to BSRs
All References to Minimum Security Requirements changed to Baseline Security Requirements.</t>
  </si>
  <si>
    <t>V1.45</t>
  </si>
  <si>
    <t>Fixed Cell references to correctly draw Yes/No Dropdown
Fixed Cell references to correctly draw Towers Dropdown</t>
  </si>
  <si>
    <t>V1.46</t>
  </si>
  <si>
    <r>
      <t xml:space="preserve">BSR References added to all BSR areas </t>
    </r>
    <r>
      <rPr>
        <b/>
        <sz val="10"/>
        <color theme="1"/>
        <rFont val="Calibri"/>
        <family val="2"/>
      </rPr>
      <t>except Software Development.</t>
    </r>
  </si>
  <si>
    <t>V1.47</t>
  </si>
  <si>
    <t>February 2nd 2020</t>
  </si>
  <si>
    <t>External link references sanitised - found within data validation links in Software Development. All Links cleared.</t>
  </si>
  <si>
    <t>V1.48</t>
  </si>
  <si>
    <t>February 5th 2020</t>
  </si>
  <si>
    <t>Formula updated to update B3 in General Information.</t>
  </si>
  <si>
    <t>V1.49</t>
  </si>
  <si>
    <t xml:space="preserve">Fixed Function Equations in Cells F8 &amp; F9 on the General Infromation Worksheet </t>
  </si>
  <si>
    <t>V1.50</t>
  </si>
  <si>
    <t>February 14th 2020</t>
  </si>
  <si>
    <t>Comments box added to Column G across all cells.</t>
  </si>
  <si>
    <t>V1.51</t>
  </si>
  <si>
    <t>Re-implementd the chnages in 1.49 that were rolled back in 1.5</t>
  </si>
  <si>
    <t>V1.52</t>
  </si>
  <si>
    <t>February 28th 2020</t>
  </si>
  <si>
    <t>Fixed Formulae references in macro to correctly update F8 &amp; F9 on General Information</t>
  </si>
  <si>
    <t>V2.0</t>
  </si>
  <si>
    <t>May 5th 2020</t>
  </si>
  <si>
    <t>James Kapotsis</t>
  </si>
  <si>
    <t>Added Sections on General Information tab for guidance
CIA fields changed to drop down which will determine overall classification (High, Medium, Low) and will change the sheet accordingly
Changed some of the wording in CIA fields
Added more "Total" fields for requirements and risks - Total requirements excludes not applicable BSRs
Added a row for "Program name"
Added a row for "Application name"
If the answer is "No" for any of the BSR sections on "General Information", the corresponding tabs are hidden and the requirements and risks are automatically deducted from the totals
Updated Business Unit names in "Area of the Business this work is being completed for"
Changes to each tab:
- Added column for BSR vs Additional Requirement
- Renamed column "F" to "Status" with values: Completed, Not Started, Not Applicable, In Progress
- Changed values in column "G" to: Yes, No, Not Applicable, In Progress
- Removed the drop-down for Security Tower, and selected the default tower based on the control
- Renamed "Comments" column to "Implementation Details"
- Renamed Towers and removed people's names</t>
  </si>
  <si>
    <t>V2.1</t>
  </si>
  <si>
    <t>May 14th 2020</t>
  </si>
  <si>
    <t>Changed cell names (i.e F22 on Server tab -&gt; ServerTotalH1) and made changes in VBA so you can insert columns and rows to the BSR tabs without it breaking the totals on general information tab
Added towers to the Tower Composition Chart</t>
  </si>
  <si>
    <t>V2.2</t>
  </si>
  <si>
    <t>May 26th 2020</t>
  </si>
  <si>
    <t>Changed the "If not completed was a risk created &amp; submitted" column to "Was a finding registered?" and changed the selection of options.  Default value is now TBC</t>
  </si>
  <si>
    <t>Added a column to each tab called "Technology Capability" to input standard security services from EA SPOT</t>
  </si>
  <si>
    <t>Added comments to some of the columns to provide guidance on what to populate the cells with</t>
  </si>
  <si>
    <t>Changes to Tower Composition chart:</t>
  </si>
  <si>
    <t>- Changed it to a stacked bar chart</t>
  </si>
  <si>
    <t>- Values on the chart are now dynamic with applicable BSRs and applicable tabs</t>
  </si>
  <si>
    <t xml:space="preserve">- Chart now tracks risks that are in progress and risks that have been registered </t>
  </si>
  <si>
    <t>V2.21</t>
  </si>
  <si>
    <t>July 16th 2020</t>
  </si>
  <si>
    <t>Changed some cell references in general tab to allow adding/removing rows
Changed Tower composition chart to have 3 separate bar charts rather than a stacked bar chart</t>
  </si>
  <si>
    <t>V2.22</t>
  </si>
  <si>
    <t>July 22nd 2020</t>
  </si>
  <si>
    <t>Changed some wording to allign Excel and Word BSRs
AAA-6 - User Session Control changed inactive session to 15 minutes (was 20 minutes) to allign with TRACS
Fixed Tower Composition chart so that if you make the status of a requirement "Not Applicable", it will subtract that requirement.</t>
  </si>
  <si>
    <t>V2.3</t>
  </si>
  <si>
    <t>August 3rd 2020</t>
  </si>
  <si>
    <t>Added Autonomous Devices Tab
Fixed more cell references
Added link to EA SPOT Sharepoint site for Application ID on General Tab</t>
  </si>
  <si>
    <t>V2.31</t>
  </si>
  <si>
    <t>September 10th 2020</t>
  </si>
  <si>
    <t>Typo fixes.
Updated to adhere to Word Document 1.0 version.</t>
  </si>
  <si>
    <t>V2.4</t>
  </si>
  <si>
    <t>October 20th 2020</t>
  </si>
  <si>
    <t>Updated to adhere to Word Document 1.1 version
All Requirement text now draws from single source - Control Sheet - this means text is consistent across all asset types and makes updates consistent. [Except Software Development &amp; Autonomous Devices]
Server added -&gt; ENC-1,PKI-1,PKI-2
Application added -&gt; PKI-2</t>
  </si>
  <si>
    <t>V2.5</t>
  </si>
  <si>
    <t>December 1st 2020</t>
  </si>
  <si>
    <t xml:space="preserve">Changed BSR Reference numbers to include prefix "BSR"
Expanded ENV-1 into separate requirements for each environment </t>
  </si>
  <si>
    <t>V2.6</t>
  </si>
  <si>
    <t>December 16th 2020</t>
  </si>
  <si>
    <t>Added links in Column A to BSR Guidance on BP&amp;I Wiki Page
Removed "REQUIREMENT HOW-TO GUIDE" Column
Added section on the "General Information" tab to enter basic Vendor information</t>
  </si>
  <si>
    <t>ACC-7 
CHM-11</t>
  </si>
  <si>
    <t>Software processes are to be isolated using application sandboxing techniques such as AppContainer or chroot where relevant. E.g. where the process is exposed to network connections.</t>
  </si>
  <si>
    <t>DSC-8</t>
  </si>
  <si>
    <t>The software’s design &amp; deployment should be simple and as modular as possible.</t>
  </si>
  <si>
    <t>Prior to deployment into production/operation the vulnerable attack surface must be
tested by a protocol fuzzer. Any flaws discovered shall be mitigated appropriately.</t>
  </si>
  <si>
    <t>TVM-8</t>
  </si>
  <si>
    <t>Meant to apply to</t>
  </si>
  <si>
    <t>WHAT TO DO</t>
  </si>
  <si>
    <t>End User Devices</t>
  </si>
  <si>
    <t>Servers</t>
  </si>
  <si>
    <t>Present</t>
  </si>
  <si>
    <t>Application</t>
  </si>
  <si>
    <t>SaaS/PaaS</t>
  </si>
  <si>
    <t>Networks</t>
  </si>
  <si>
    <t>Databases</t>
  </si>
  <si>
    <t>Manage least privilege by reviewing and updating existing system accounts and privileges. Enforce password complexity, aging &amp; history. Logins only via NG AD credentials</t>
  </si>
  <si>
    <t>N</t>
  </si>
  <si>
    <t>Y</t>
  </si>
  <si>
    <t>Access administrative accounts only through a Privileged Access Workstation (PAW).</t>
  </si>
  <si>
    <t>Define and document roles and responsibilities.  Ensure separation of duties.</t>
  </si>
  <si>
    <t>Require multi-factor authentication for all interactive application logins off-network</t>
  </si>
  <si>
    <t xml:space="preserve">Unless covered by an Exception to Policy Form, all accounts managed by the application will only enable one active session and no more for that same account at the same time 
Inactivity session terminates/lockout after 15 minutes </t>
  </si>
  <si>
    <t xml:space="preserve">All application accounts that allow for a bypass of normally required identification or authentication need to be identified and an Exception to Policy filled out and submitted (i.e. SCADA accounts used for emergency purposes) </t>
  </si>
  <si>
    <t>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t>
  </si>
  <si>
    <t>BSR-DB-1</t>
  </si>
  <si>
    <t>Changes to the database should record when, who, the old value and new value of the change to enable roll back capability.</t>
  </si>
  <si>
    <t xml:space="preserve">Integrate the solution with NG CASB
Ensure SAAS/PAAS data leakage protection is enabled </t>
  </si>
  <si>
    <t>Enable disk encryption using NG approved tool and apply recommended settings</t>
  </si>
  <si>
    <t>BSR-ENC-2</t>
  </si>
  <si>
    <t xml:space="preserve">The Database containing sensitive (Confidential or Strictly Confidential) information should, as a minimum, use Transparent Data Encryption (TDE).  Stronger methods would be Column-level encryption and Field-level encryption (see https://en.wikipedia.org/wiki/Database_encryption ). </t>
  </si>
  <si>
    <t>BSR-ENC-3</t>
  </si>
  <si>
    <t>All queries to the database should rely on an encrypted protocol.  Oracle Advanced Security provides standards-based network encryption for protecting all communication to and from the Oracle Database.  Microsoft SQL Server supports TLS encryption to protect all communication to and from the Database</t>
  </si>
  <si>
    <t>Production, and non-production environments should be segregated </t>
  </si>
  <si>
    <t>Development Environments cannot be exposed to the internet </t>
  </si>
  <si>
    <t>UAT Environments should only be exposed to the internet if full production controls are in place </t>
  </si>
  <si>
    <t>Non-Production environments will not have production data especially personally identifiable information without obfuscation or anonymization </t>
  </si>
  <si>
    <t>Ensure all systems deploy approved antivirus and malware defense solution</t>
  </si>
  <si>
    <t>1) Deploy appropriate security service for intrusion detection.
2) Review alerts as they are received.
3) Integrate log with Cyber Security Operation Centre (CSOC) log service.</t>
  </si>
  <si>
    <t>Ensure application is listed in CMDB or AirWatch for mobile devices, or Traveler’s for US CNI and the inventory is updated quarterly and reflects accurate data classification, associated risk classifications, data volume estimates and service ownership.</t>
  </si>
  <si>
    <t>Establish an incident response plan and train stakeholders periodically</t>
  </si>
  <si>
    <t>Forward logs to a remote log server. Logs should be made available to NG CSOC</t>
  </si>
  <si>
    <t>Enable host-based firewall in default deny mode and permit the Baseline necessary services.</t>
  </si>
  <si>
    <r>
      <t>1.</t>
    </r>
    <r>
      <rPr>
        <sz val="10"/>
        <color theme="1"/>
        <rFont val="Times New Roman"/>
        <family val="1"/>
      </rPr>
      <t xml:space="preserve">       </t>
    </r>
    <r>
      <rPr>
        <sz val="10"/>
        <color theme="1"/>
        <rFont val="Calibri"/>
        <family val="2"/>
        <scheme val="minor"/>
      </rPr>
      <t>RDP to the Cloud workload from BLAN is disabled.
2.       Advise the 3rd Party to use NG VDI
If CyberArc is rolled out, the 3rd Party from BLAN can use CyberArc Bastion to Logon to the operating System</t>
    </r>
  </si>
  <si>
    <t>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t>
  </si>
  <si>
    <r>
      <t xml:space="preserve">1. Semi-Trusted
</t>
    </r>
    <r>
      <rPr>
        <sz val="10"/>
        <color rgb="FF2E2D29"/>
        <rFont val="Calibri"/>
        <family val="2"/>
        <scheme val="minor"/>
      </rPr>
      <t xml:space="preserve">If your service is receiving the connection from External Sources (Non-NG Environment/Internet) you must host your server here. No Application or Database would be placed in this zone
</t>
    </r>
    <r>
      <rPr>
        <b/>
        <sz val="10"/>
        <color rgb="FF2E2D29"/>
        <rFont val="Calibri"/>
        <family val="2"/>
        <scheme val="minor"/>
      </rPr>
      <t xml:space="preserve">2. Trusted
</t>
    </r>
    <r>
      <rPr>
        <sz val="10"/>
        <color rgb="FF2E2D29"/>
        <rFont val="Calibri"/>
        <family val="2"/>
        <scheme val="minor"/>
      </rPr>
      <t>Host place here would should only receive connection which are user Authenticated and Verified client source</t>
    </r>
    <r>
      <rPr>
        <b/>
        <sz val="10"/>
        <color rgb="FF2E2D29"/>
        <rFont val="Calibri"/>
        <family val="2"/>
        <scheme val="minor"/>
      </rPr>
      <t xml:space="preserve">
NOTE: If for any Reason your application is not a distributed, and you must place the host in Trusted zone with Connection coming from internet (Certificate Check /Client Authentication using Cloudflare is must)
Check the Control in more detail in the table below</t>
    </r>
  </si>
  <si>
    <r>
      <t>Web API</t>
    </r>
    <r>
      <rPr>
        <sz val="10"/>
        <color theme="1"/>
        <rFont val="Calibri"/>
        <family val="2"/>
        <scheme val="minor"/>
      </rPr>
      <t xml:space="preserve"> - Web</t>
    </r>
    <r>
      <rPr>
        <b/>
        <sz val="10"/>
        <color theme="1"/>
        <rFont val="Calibri"/>
        <family val="2"/>
        <scheme val="minor"/>
      </rPr>
      <t xml:space="preserve">
Web API/CNI integrated - Isolated Web
Relay Agent - Web
Critical Data in cache - App 
Code execution - App 
Data Store - Database</t>
    </r>
  </si>
  <si>
    <t>Ensure that the API based application is centrally authenticated using National Grid OAUTH service 
(Managed by Avanade).</t>
  </si>
  <si>
    <t>Ensure when raising the Firewall request be specific on the below information 
·         Source IP (Specific IP)
·         Destination (Specific IP)
·         Destination Protocol (UDP or TCP, IP)
·         Destination Port (ssh,https,dns, etc)
·         Direction (Uni Directional or Bi-Directional)</t>
  </si>
  <si>
    <t>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t>
  </si>
  <si>
    <t>1.Always enroll your externally published services using Web Application Firewall (NG’s In-house capability - Cloudflare)
OWASP Protection,
Geographical IP Protection (block from Russia, Iran)</t>
  </si>
  <si>
    <t xml:space="preserve">NG Cloudflare Service can perform client certificate checks, For External assets extend the trust, by Enrolling the external entity with NG Public Key certificate </t>
  </si>
  <si>
    <r>
      <t>1.</t>
    </r>
    <r>
      <rPr>
        <sz val="10"/>
        <color theme="1"/>
        <rFont val="Times New Roman"/>
        <family val="1"/>
      </rPr>
      <t xml:space="preserve">       </t>
    </r>
    <r>
      <rPr>
        <sz val="10"/>
        <color theme="1"/>
        <rFont val="Calibri"/>
        <family val="2"/>
        <scheme val="minor"/>
      </rPr>
      <t xml:space="preserve">NOTE: Enroll 3rd Party for NG OnenetID Account with clear description
2.       Enroll the 3rd Party to NG VDI (Verizon Horizon Solution) - MFA Enable on NG VDI – This completes a strong User Verification 
3.       From VDI support team can access NG the server for Management or Support. </t>
    </r>
  </si>
  <si>
    <t>Installation of any new server software or a major upgrade of an existing application that introduces new feature, functionality, interfaces, enabled ports and roles/groups into National Grid’s environment will be pen tested by BP&amp;I</t>
  </si>
  <si>
    <t>All encryption keys and certificates to be utilized by the application will be issued by a recognized CA and not self-signed and utilizes the AES cipher of a length no smaller than 256-bit</t>
  </si>
  <si>
    <t>Enable transport layer encryption TLS 1.3 or higher. (TLS 1.2 with non compromised ciphers is acceptable if remedial plan to move to TLS 1.3 is evidenced).
Always use encryption of data at rest and transit using standard mechanism</t>
  </si>
  <si>
    <t>All enabled ports, protocols, user accounts, groups, and policies to be made active on any systems owned by and/or placed within National Grid will have an assigned purpose that meets an established requirement for functionality or operations.</t>
  </si>
  <si>
    <t>Select only those products which meet NG security requirements to include an ISO 27001 (or similar) certification as well as a SOC 2 Type II certification from the datacenter provider they are using</t>
  </si>
  <si>
    <t>Place system hardware in National Grid authorized datacenter.</t>
  </si>
  <si>
    <t>Follow all regulatory data controls as applicable (NIST 800-171, PCI DSS, GDPR, etc.).</t>
  </si>
  <si>
    <t>Configuration is baselined using industry standard benchmarks e.g. CIS benchmarks, vendor recommendations
Ensure component has the latest configuration.
Do not use components where configuration is compromised e.g. ‘jailbroken’ or ‘rooted’ devices</t>
  </si>
  <si>
    <t>Include security as a design requirement. Review all code and correctly identified security flaws prior to deployment. Use of static code analysis tools recommended.</t>
  </si>
  <si>
    <t>OS &amp; Software packages supported by vendor for 3 years (perpetual)</t>
  </si>
  <si>
    <t>Perform a monthly vulnerability scan. 
Remediate severity 4 and 5 vulnerabilities within two days of discovery and severity 3 vulnerabilities within seven days (TBC).</t>
  </si>
  <si>
    <t>All vendors providing SCADA-like application must provide an SDLA-312 certification</t>
  </si>
  <si>
    <t>Enterprise Data Management Capabilities - Master Data Management (MDM)Tool/Platform</t>
  </si>
  <si>
    <t>5917E</t>
  </si>
  <si>
    <t>Igor Barshteyn</t>
  </si>
  <si>
    <t>Keith Vargas</t>
  </si>
  <si>
    <t>TBD (Reltio or Informatica)</t>
  </si>
  <si>
    <t>Curated by Nishit Ajwaliya, but no PM officially</t>
  </si>
  <si>
    <t>Bharat Tripathi</t>
  </si>
  <si>
    <t>https://nationalgridplc.sharepoint.com/:f:/r/sites/GRP-INT-US-SecurityBusinessPartneringIntegration/Shared Documents/Projects/2021/US/US IT/INVP 5917E MDM Platform?csf=1&amp;web=1&amp;e=dFarJw</t>
  </si>
  <si>
    <t>Contact Name: Aja Delanay (Informatica), Peter Bierfeldt (Reltio)</t>
  </si>
  <si>
    <t>Email: adelanay@informatica.com; peter.bierfeldt@reltio.com</t>
  </si>
  <si>
    <t>Informatica or Reltio (TBD), Hosting on AWS, Azure</t>
  </si>
  <si>
    <t>There is shared infrastructure in Azure with Informatica.</t>
  </si>
  <si>
    <t>Igor Barshteyn &amp; Reza Maserrat are progressing through guidance steps for this BSR to complete vendor security assesment.</t>
  </si>
  <si>
    <r>
      <t xml:space="preserve">Informatica has provided vulnerability testing report against OWASP Top 10 for their hosted MDM service. </t>
    </r>
    <r>
      <rPr>
        <b/>
        <sz val="10"/>
        <color theme="1"/>
        <rFont val="Arial"/>
        <family val="2"/>
      </rPr>
      <t>Informatica has 2 medium vulnerabilities are noted as outstanding - awaiting clarification and remediation plan</t>
    </r>
    <r>
      <rPr>
        <sz val="10"/>
        <color theme="1"/>
        <rFont val="Arial"/>
        <family val="2"/>
      </rPr>
      <t xml:space="preserve">. Reltio has provided demonstration of last-year's penetration test report on a call with Igor Barshteyn and Reza Maserrat. </t>
    </r>
    <r>
      <rPr>
        <b/>
        <sz val="10"/>
        <color theme="1"/>
        <rFont val="Arial"/>
        <family val="2"/>
      </rPr>
      <t>Reltio have stated most recent report (being written) has under 6 medium vulnerabilities outstanding - we expect a listing once report is ready and a remediation plan timeline.</t>
    </r>
  </si>
  <si>
    <r>
      <t xml:space="preserve">Vendor Information: Reltio SOC2-2 p. 27 - IR-2 Reltio has incident response plans and procedures in place; p. 12 Reltio conducts annual security training to include incident management. Informatica SOC1-2 report p. 14 states an Incident Management program is in place; p. 49-51 state that the program is maintained and kept current. </t>
    </r>
    <r>
      <rPr>
        <b/>
        <sz val="10"/>
        <color theme="1"/>
        <rFont val="Arial"/>
        <family val="2"/>
      </rPr>
      <t>National Grid Requirement: Project to engage CSIRT team and ensure incident response plans exist for selected MDM application, and to provide evidence for same.</t>
    </r>
  </si>
  <si>
    <t>Project to engage VM tower to ensure selected application is entered into NG CMDB and provide evidence.</t>
  </si>
  <si>
    <t>Project to engege IAM tower to ensure selected application is intergrated with NG SSO services and Azure AD and provide evidence. Project to ensure secure storage and handling of API keys and provide evidence for such.</t>
  </si>
  <si>
    <t>Project to engage IAM tower to ensure all interactive logons to SaaS platform are protected by MFA, and to provide evidence for same.</t>
  </si>
  <si>
    <t>Proeject to ensure vendor has access logging capability and to engage NG SOAR tower to integrate it with NG SOAR platform, and provide evidence.</t>
  </si>
  <si>
    <t>Vendor Information: Both Vendors have provided SOC reports stating satisfactory compliance, and also HiTrust CSF (Reltio). There is no indication of non-compliance with industry accepted controls and standards.</t>
  </si>
  <si>
    <t>Project to engage Data Protection Tower to implement MDM solution integration with NG CASB platform, and to provide evidence.</t>
  </si>
  <si>
    <t>Vendor to provide copies of certificates used for all connections between vendor and NG estate. Project to engage Data Protection team to ensure all NG-side certificates are provided by DSG.</t>
  </si>
  <si>
    <t>Project to engage with IAM team to ensure API calls to selected MDM application are authenticated using NG OAUTH service, and to provide evidence for same.</t>
  </si>
  <si>
    <t>Project to raise all firewall requests to connect to MDM solution via NG standard Firewall Request process, and to provide evidence for same.</t>
  </si>
  <si>
    <r>
      <t xml:space="preserve">Project to ensure all network connections between SaaS platform and NG estate are secured by TLS 1.3 and to provide evidence for same. </t>
    </r>
    <r>
      <rPr>
        <b/>
        <sz val="10"/>
        <color rgb="FFFF0000"/>
        <rFont val="Arial"/>
        <family val="2"/>
      </rPr>
      <t>Note that this precludes use of FTP as a connection method to the MDM solution.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</si>
</sst>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10"/>
      <color theme="1"/>
      <name val="Calibri"/>
      <family val="2"/>
    </font>
    <font>
      <sz val="10"/>
      <color theme="1"/>
      <name val="Calibri"/>
      <family val="2"/>
    </font>
    <font>
      <sz val="11"/>
      <color theme="1"/>
      <name val="Arial"/>
      <family val="2"/>
    </font>
    <font>
      <sz val="10"/>
      <color theme="1"/>
      <name val="Arial"/>
      <family val="2"/>
    </font>
    <font>
      <b/>
      <sz val="10"/>
      <color theme="1"/>
      <name val="Arial"/>
      <family val="2"/>
    </font>
    <font>
      <b/>
      <sz val="10"/>
      <color theme="0"/>
      <name val="Arial"/>
      <family val="2"/>
    </font>
    <font>
      <sz val="9"/>
      <color theme="1"/>
      <name val="Arial"/>
      <family val="2"/>
    </font>
    <font>
      <b/>
      <sz val="9"/>
      <color theme="1"/>
      <name val="Arial"/>
      <family val="2"/>
    </font>
    <font>
      <b/>
      <sz val="9"/>
      <color theme="0"/>
      <name val="Arial"/>
      <family val="2"/>
    </font>
    <font>
      <sz val="9"/>
      <color theme="0"/>
      <name val="Arial"/>
      <family val="2"/>
    </font>
    <font>
      <b/>
      <sz val="9"/>
      <color rgb="FFFFFF00"/>
      <name val="Arial"/>
      <family val="2"/>
    </font>
    <font>
      <b/>
      <sz val="14"/>
      <color rgb="FFFFFF00"/>
      <name val="Arial"/>
      <family val="2"/>
    </font>
    <font>
      <b/>
      <sz val="14"/>
      <color rgb="FFFFFF00"/>
      <name val="Calibri"/>
      <family val="2"/>
      <scheme val="minor"/>
    </font>
    <font>
      <sz val="10"/>
      <color rgb="FFFFFF00"/>
      <name val="Arial"/>
      <family val="2"/>
    </font>
    <font>
      <b/>
      <sz val="10"/>
      <color rgb="FFFFFF00"/>
      <name val="Arial"/>
      <family val="2"/>
    </font>
    <font>
      <sz val="10"/>
      <name val="Calibri"/>
      <family val="2"/>
      <scheme val="minor"/>
    </font>
    <font>
      <b/>
      <sz val="10"/>
      <name val="Calibri"/>
      <family val="2"/>
      <scheme val="minor"/>
    </font>
    <font>
      <sz val="10"/>
      <color theme="1"/>
      <name val="Calibri"/>
      <family val="2"/>
      <scheme val="minor"/>
    </font>
    <font>
      <sz val="10"/>
      <name val="Arial"/>
      <family val="2"/>
    </font>
    <font>
      <b/>
      <sz val="11"/>
      <color theme="1"/>
      <name val="Calibri"/>
      <family val="2"/>
      <scheme val="minor"/>
    </font>
    <font>
      <b/>
      <sz val="11"/>
      <color rgb="FFFFFF00"/>
      <name val="Arial"/>
      <family val="2"/>
    </font>
    <font>
      <b/>
      <sz val="12"/>
      <color rgb="FFFFFF00"/>
      <name val="Arial"/>
      <family val="2"/>
    </font>
    <font>
      <b/>
      <sz val="12"/>
      <color rgb="FFFFFF00"/>
      <name val="Calibri"/>
      <family val="2"/>
      <scheme val="minor"/>
    </font>
    <font>
      <b/>
      <sz val="12"/>
      <color theme="0"/>
      <name val="Arial"/>
      <family val="2"/>
    </font>
    <font>
      <b/>
      <sz val="12"/>
      <color theme="0"/>
      <name val="Calibri"/>
      <family val="2"/>
      <scheme val="minor"/>
    </font>
    <font>
      <sz val="12"/>
      <color theme="1"/>
      <name val="Calibri"/>
      <family val="2"/>
      <scheme val="minor"/>
    </font>
    <font>
      <b/>
      <sz val="10"/>
      <color rgb="FF000000"/>
      <name val="Times New Roman"/>
      <family val="1"/>
    </font>
    <font>
      <b/>
      <sz val="10"/>
      <color rgb="FF000000"/>
      <name val="Calibri"/>
      <family val="2"/>
      <scheme val="minor"/>
    </font>
    <font>
      <b/>
      <sz val="11"/>
      <color theme="0"/>
      <name val="Calibri"/>
      <family val="2"/>
      <scheme val="minor"/>
    </font>
    <font>
      <b/>
      <sz val="10"/>
      <color theme="0"/>
      <name val="Calibri"/>
      <family val="2"/>
      <scheme val="minor"/>
    </font>
    <font>
      <sz val="11"/>
      <color rgb="FF000000"/>
      <name val="Calibri"/>
      <family val="2"/>
      <scheme val="minor"/>
    </font>
    <font>
      <b/>
      <sz val="11"/>
      <name val="Arial"/>
      <family val="2"/>
    </font>
    <font>
      <sz val="11"/>
      <name val="Arial"/>
      <family val="2"/>
    </font>
    <font>
      <u/>
      <sz val="11"/>
      <color theme="10"/>
      <name val="Calibri"/>
      <family val="2"/>
      <scheme val="minor"/>
    </font>
    <font>
      <u/>
      <sz val="11"/>
      <color rgb="FFFFFF00"/>
      <name val="Calibri"/>
      <family val="2"/>
      <scheme val="minor"/>
    </font>
    <font>
      <sz val="10"/>
      <color rgb="FF000000"/>
      <name val="Calibri"/>
      <family val="2"/>
      <scheme val="minor"/>
    </font>
    <font>
      <sz val="10"/>
      <color rgb="FF2E2D29"/>
      <name val="Calibri"/>
      <family val="2"/>
      <scheme val="minor"/>
    </font>
    <font>
      <b/>
      <sz val="10"/>
      <color rgb="FF2E2D29"/>
      <name val="Calibri"/>
      <family val="2"/>
      <scheme val="minor"/>
    </font>
    <font>
      <b/>
      <sz val="10"/>
      <color theme="1"/>
      <name val="Calibri"/>
      <family val="2"/>
      <scheme val="minor"/>
    </font>
    <font>
      <sz val="10"/>
      <color theme="1"/>
      <name val="Times New Roman"/>
      <family val="1"/>
    </font>
    <font>
      <b/>
      <sz val="10"/>
      <color theme="0"/>
      <name val="Calibri"/>
      <family val="2"/>
    </font>
    <font>
      <b/>
      <sz val="10"/>
      <color rgb="FFFF0000"/>
      <name val="Arial"/>
      <family val="2"/>
    </font>
  </fonts>
  <fills count="21">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rgb="FFCCCCCC"/>
        <bgColor indexed="64"/>
      </patternFill>
    </fill>
    <fill>
      <patternFill patternType="solid">
        <fgColor rgb="FFD9D9D9"/>
        <bgColor indexed="64"/>
      </patternFill>
    </fill>
    <fill>
      <patternFill patternType="solid">
        <fgColor rgb="FF78A22F"/>
        <bgColor indexed="64"/>
      </patternFill>
    </fill>
    <fill>
      <patternFill patternType="solid">
        <fgColor rgb="FFFFB45A"/>
        <bgColor indexed="64"/>
      </patternFill>
    </fill>
    <fill>
      <patternFill patternType="solid">
        <fgColor rgb="FF00148C"/>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1" tint="0.249977111117893"/>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FF"/>
        <bgColor rgb="FF000000"/>
      </patternFill>
    </fill>
    <fill>
      <patternFill patternType="solid">
        <fgColor rgb="FFFEE634"/>
        <bgColor indexed="64"/>
      </patternFill>
    </fill>
    <fill>
      <patternFill patternType="solid">
        <fgColor theme="3" tint="-0.249977111117893"/>
        <bgColor indexed="64"/>
      </patternFill>
    </fill>
  </fills>
  <borders count="43">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bottom/>
      <diagonal/>
    </border>
    <border>
      <left style="medium">
        <color indexed="64"/>
      </left>
      <right/>
      <top/>
      <bottom/>
      <diagonal/>
    </border>
    <border>
      <left/>
      <right/>
      <top style="thin">
        <color auto="1"/>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medium">
        <color indexed="64"/>
      </right>
      <top/>
      <bottom/>
      <diagonal/>
    </border>
    <border>
      <left style="medium">
        <color indexed="64"/>
      </left>
      <right/>
      <top/>
      <bottom style="medium">
        <color indexed="64"/>
      </bottom>
      <diagonal/>
    </border>
    <border>
      <left style="thin">
        <color auto="1"/>
      </left>
      <right/>
      <top style="thin">
        <color auto="1"/>
      </top>
      <bottom style="thin">
        <color auto="1"/>
      </bottom>
      <diagonal/>
    </border>
    <border>
      <left style="medium">
        <color rgb="FF000000"/>
      </left>
      <right/>
      <top style="medium">
        <color rgb="FF000000"/>
      </top>
      <bottom style="medium">
        <color rgb="FF000000"/>
      </bottom>
      <diagonal/>
    </border>
    <border>
      <left/>
      <right style="thin">
        <color indexed="64"/>
      </right>
      <top/>
      <bottom style="thin">
        <color indexed="64"/>
      </bottom>
      <diagonal/>
    </border>
    <border>
      <left style="medium">
        <color rgb="FF000000"/>
      </left>
      <right style="medium">
        <color rgb="FF000000"/>
      </right>
      <top style="medium">
        <color rgb="FF000000"/>
      </top>
      <bottom/>
      <diagonal/>
    </border>
    <border>
      <left style="medium">
        <color auto="1"/>
      </left>
      <right style="medium">
        <color auto="1"/>
      </right>
      <top style="medium">
        <color auto="1"/>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auto="1"/>
      </left>
      <right style="thin">
        <color auto="1"/>
      </right>
      <top/>
      <bottom/>
      <diagonal/>
    </border>
    <border>
      <left/>
      <right style="thin">
        <color indexed="64"/>
      </right>
      <top style="thin">
        <color indexed="64"/>
      </top>
      <bottom/>
      <diagonal/>
    </border>
    <border>
      <left/>
      <right style="thin">
        <color indexed="64"/>
      </right>
      <top/>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medium">
        <color indexed="64"/>
      </left>
      <right style="medium">
        <color indexed="64"/>
      </right>
      <top/>
      <bottom/>
      <diagonal/>
    </border>
    <border>
      <left style="thin">
        <color auto="1"/>
      </left>
      <right/>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bottom style="thin">
        <color indexed="64"/>
      </bottom>
      <diagonal/>
    </border>
  </borders>
  <cellStyleXfs count="3">
    <xf numFmtId="0" fontId="0" fillId="0" borderId="0"/>
    <xf numFmtId="0" fontId="26" fillId="0" borderId="0"/>
    <xf numFmtId="0" fontId="34" fillId="0" borderId="0" applyNumberFormat="0" applyFill="0" applyBorder="0" applyAlignment="0" applyProtection="0"/>
  </cellStyleXfs>
  <cellXfs count="254">
    <xf numFmtId="0" fontId="0" fillId="0" borderId="0" xfId="0"/>
    <xf numFmtId="0" fontId="1" fillId="0" borderId="7" xfId="0" applyFont="1" applyBorder="1" applyAlignment="1">
      <alignment vertical="center" wrapText="1"/>
    </xf>
    <xf numFmtId="0" fontId="1" fillId="5" borderId="7" xfId="0" applyFont="1" applyFill="1" applyBorder="1" applyAlignment="1">
      <alignment vertical="center" wrapText="1"/>
    </xf>
    <xf numFmtId="0" fontId="1" fillId="5" borderId="6" xfId="0" applyFont="1" applyFill="1" applyBorder="1" applyAlignment="1">
      <alignment vertical="center" wrapText="1"/>
    </xf>
    <xf numFmtId="0" fontId="2" fillId="0" borderId="6" xfId="0" applyFont="1" applyBorder="1" applyAlignment="1">
      <alignment horizontal="center" vertical="center" wrapText="1"/>
    </xf>
    <xf numFmtId="0" fontId="2" fillId="3" borderId="7" xfId="0" applyFont="1" applyFill="1" applyBorder="1" applyAlignment="1">
      <alignment vertical="center" wrapText="1"/>
    </xf>
    <xf numFmtId="0" fontId="2" fillId="3" borderId="6" xfId="0" applyFont="1" applyFill="1" applyBorder="1" applyAlignment="1">
      <alignment vertical="center" wrapText="1"/>
    </xf>
    <xf numFmtId="0" fontId="3" fillId="0" borderId="0" xfId="0" applyFont="1"/>
    <xf numFmtId="0" fontId="4" fillId="0" borderId="0" xfId="0" applyFont="1"/>
    <xf numFmtId="0" fontId="4" fillId="0" borderId="0" xfId="0" applyFont="1" applyAlignment="1">
      <alignment wrapText="1"/>
    </xf>
    <xf numFmtId="0" fontId="7" fillId="0" borderId="0" xfId="0" applyFont="1"/>
    <xf numFmtId="0" fontId="7" fillId="0" borderId="0" xfId="0" applyFont="1" applyAlignment="1">
      <alignment wrapText="1"/>
    </xf>
    <xf numFmtId="0" fontId="7" fillId="3" borderId="12" xfId="0" applyFont="1" applyFill="1" applyBorder="1" applyAlignment="1">
      <alignment vertical="center"/>
    </xf>
    <xf numFmtId="0" fontId="7" fillId="3" borderId="12" xfId="0" applyFont="1" applyFill="1" applyBorder="1" applyAlignment="1">
      <alignment horizontal="left" vertical="center"/>
    </xf>
    <xf numFmtId="0" fontId="7" fillId="0" borderId="0" xfId="0" applyFont="1" applyBorder="1"/>
    <xf numFmtId="0" fontId="7" fillId="0" borderId="0" xfId="0" applyFont="1" applyAlignment="1">
      <alignment vertical="top"/>
    </xf>
    <xf numFmtId="0" fontId="7" fillId="0" borderId="0" xfId="0" applyFont="1" applyAlignment="1">
      <alignment horizontal="right" vertical="center"/>
    </xf>
    <xf numFmtId="0" fontId="7" fillId="0" borderId="0" xfId="0" applyFont="1" applyAlignment="1">
      <alignment horizontal="right"/>
    </xf>
    <xf numFmtId="0" fontId="7" fillId="0" borderId="0" xfId="0" applyFont="1" applyAlignment="1">
      <alignment horizontal="right" vertical="top"/>
    </xf>
    <xf numFmtId="2" fontId="7" fillId="0" borderId="0" xfId="0" applyNumberFormat="1" applyFont="1" applyAlignment="1">
      <alignment horizontal="right" vertical="top"/>
    </xf>
    <xf numFmtId="0" fontId="7" fillId="0" borderId="0" xfId="0" applyFont="1" applyAlignment="1">
      <alignment horizontal="left" vertical="top" wrapText="1"/>
    </xf>
    <xf numFmtId="0" fontId="7" fillId="0" borderId="0" xfId="0" applyFont="1" applyFill="1" applyBorder="1"/>
    <xf numFmtId="0" fontId="7" fillId="0" borderId="0" xfId="0" applyFont="1" applyFill="1" applyBorder="1" applyAlignment="1">
      <alignment vertical="center"/>
    </xf>
    <xf numFmtId="0" fontId="7" fillId="3" borderId="0" xfId="0" applyFont="1" applyFill="1" applyBorder="1" applyAlignment="1">
      <alignment vertical="center"/>
    </xf>
    <xf numFmtId="0" fontId="15" fillId="11" borderId="1" xfId="0" applyFont="1" applyFill="1" applyBorder="1" applyAlignment="1">
      <alignment horizontal="center" vertical="center" wrapText="1" readingOrder="1"/>
    </xf>
    <xf numFmtId="0" fontId="5" fillId="0" borderId="1" xfId="0" applyFont="1" applyBorder="1" applyAlignment="1">
      <alignment horizontal="center" vertical="center"/>
    </xf>
    <xf numFmtId="0" fontId="15" fillId="11" borderId="1" xfId="0" applyFont="1" applyFill="1" applyBorder="1" applyAlignment="1">
      <alignment horizontal="center" vertical="center" wrapText="1"/>
    </xf>
    <xf numFmtId="0" fontId="17" fillId="0" borderId="1" xfId="0" applyFont="1" applyFill="1" applyBorder="1" applyAlignment="1">
      <alignment horizontal="left" vertical="center" wrapText="1" readingOrder="1"/>
    </xf>
    <xf numFmtId="0" fontId="16" fillId="0" borderId="1" xfId="0" applyFont="1" applyBorder="1" applyAlignment="1">
      <alignment horizontal="left" vertical="center" wrapText="1"/>
    </xf>
    <xf numFmtId="0" fontId="16" fillId="0" borderId="1" xfId="0" applyFont="1" applyBorder="1" applyAlignment="1">
      <alignment horizontal="left" vertical="center"/>
    </xf>
    <xf numFmtId="0" fontId="8" fillId="13" borderId="0" xfId="0" applyFont="1" applyFill="1" applyAlignment="1">
      <alignment horizontal="center" vertical="center"/>
    </xf>
    <xf numFmtId="0" fontId="8" fillId="9" borderId="0" xfId="0" applyFont="1" applyFill="1" applyAlignment="1">
      <alignment horizontal="center" vertical="center"/>
    </xf>
    <xf numFmtId="0" fontId="11" fillId="11" borderId="19" xfId="0" applyFont="1" applyFill="1" applyBorder="1" applyAlignment="1">
      <alignment horizontal="left" vertical="center" wrapText="1"/>
    </xf>
    <xf numFmtId="0" fontId="7" fillId="0" borderId="0" xfId="0" applyFont="1" applyBorder="1" applyAlignment="1">
      <alignment horizontal="left" wrapText="1"/>
    </xf>
    <xf numFmtId="0" fontId="11" fillId="11" borderId="20" xfId="0" applyFont="1" applyFill="1" applyBorder="1" applyAlignment="1">
      <alignment horizontal="left" vertical="center" wrapText="1"/>
    </xf>
    <xf numFmtId="0" fontId="19" fillId="0" borderId="1" xfId="0" applyFont="1" applyBorder="1" applyAlignment="1">
      <alignment horizontal="left" vertical="center" wrapText="1"/>
    </xf>
    <xf numFmtId="0" fontId="19" fillId="0" borderId="1" xfId="0" applyFont="1" applyFill="1" applyBorder="1" applyAlignment="1">
      <alignment horizontal="left" vertical="center" wrapText="1"/>
    </xf>
    <xf numFmtId="49" fontId="2" fillId="3" borderId="6" xfId="0" applyNumberFormat="1" applyFont="1" applyFill="1" applyBorder="1" applyAlignment="1">
      <alignment vertical="center" wrapText="1"/>
    </xf>
    <xf numFmtId="0" fontId="15" fillId="11" borderId="18" xfId="0" applyFont="1" applyFill="1" applyBorder="1" applyAlignment="1">
      <alignment horizontal="center" vertical="center" wrapText="1"/>
    </xf>
    <xf numFmtId="0" fontId="4"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20" xfId="0" applyFont="1" applyBorder="1" applyAlignment="1">
      <alignment horizontal="center" vertical="center"/>
    </xf>
    <xf numFmtId="0" fontId="0" fillId="0" borderId="0" xfId="0" applyAlignment="1">
      <alignment horizontal="center" vertical="center"/>
    </xf>
    <xf numFmtId="0" fontId="0" fillId="0" borderId="0" xfId="0" applyBorder="1"/>
    <xf numFmtId="0" fontId="0" fillId="0" borderId="0" xfId="0" applyBorder="1" applyAlignment="1">
      <alignment horizontal="center" vertical="center"/>
    </xf>
    <xf numFmtId="0" fontId="21" fillId="11" borderId="1" xfId="0" applyFont="1" applyFill="1" applyBorder="1" applyAlignment="1">
      <alignment horizontal="center" vertical="center" wrapText="1"/>
    </xf>
    <xf numFmtId="0" fontId="20" fillId="0" borderId="1" xfId="0" applyFont="1" applyBorder="1" applyAlignment="1">
      <alignment horizontal="center" vertical="center"/>
    </xf>
    <xf numFmtId="0" fontId="6" fillId="8" borderId="1" xfId="0" applyFont="1" applyFill="1" applyBorder="1" applyAlignment="1">
      <alignment horizontal="center" vertical="center" wrapText="1" readingOrder="1"/>
    </xf>
    <xf numFmtId="0" fontId="17" fillId="0" borderId="1" xfId="0" applyFont="1" applyBorder="1" applyAlignment="1">
      <alignment horizontal="center" vertical="center" wrapText="1"/>
    </xf>
    <xf numFmtId="0" fontId="7" fillId="0" borderId="9" xfId="0" applyFont="1" applyBorder="1"/>
    <xf numFmtId="0" fontId="16" fillId="0" borderId="23" xfId="0" applyFont="1" applyBorder="1" applyAlignment="1">
      <alignment horizontal="left" vertical="center" wrapText="1"/>
    </xf>
    <xf numFmtId="0" fontId="5" fillId="0" borderId="17" xfId="0" applyFont="1" applyBorder="1" applyAlignment="1">
      <alignment horizontal="center" vertical="center"/>
    </xf>
    <xf numFmtId="0" fontId="17" fillId="0" borderId="19" xfId="0" applyFont="1" applyBorder="1" applyAlignment="1">
      <alignment horizontal="center" vertical="center" wrapText="1"/>
    </xf>
    <xf numFmtId="0" fontId="28" fillId="0" borderId="1" xfId="1" applyFont="1" applyFill="1" applyBorder="1" applyAlignment="1">
      <alignment horizontal="center" vertical="center" wrapText="1"/>
    </xf>
    <xf numFmtId="0" fontId="28" fillId="0" borderId="19" xfId="1" applyFont="1" applyFill="1" applyBorder="1" applyAlignment="1">
      <alignment horizontal="center" vertical="center" wrapText="1"/>
    </xf>
    <xf numFmtId="0" fontId="5" fillId="0" borderId="23" xfId="0" applyFont="1" applyBorder="1" applyAlignment="1">
      <alignment horizontal="center" vertical="center"/>
    </xf>
    <xf numFmtId="0" fontId="18" fillId="0" borderId="1" xfId="0" applyFont="1" applyBorder="1" applyAlignment="1">
      <alignment vertical="center" wrapText="1"/>
    </xf>
    <xf numFmtId="0" fontId="15" fillId="11" borderId="24" xfId="0" applyFont="1" applyFill="1" applyBorder="1" applyAlignment="1">
      <alignment horizontal="center" vertical="center" wrapText="1"/>
    </xf>
    <xf numFmtId="0" fontId="17" fillId="0" borderId="1" xfId="0" applyFont="1" applyFill="1" applyBorder="1" applyAlignment="1">
      <alignment horizontal="center" vertical="center" wrapText="1" readingOrder="1"/>
    </xf>
    <xf numFmtId="0" fontId="5" fillId="0" borderId="17" xfId="0" applyFont="1" applyBorder="1" applyAlignment="1">
      <alignment horizontal="center" vertical="center" wrapText="1"/>
    </xf>
    <xf numFmtId="0" fontId="16" fillId="0" borderId="25" xfId="0" applyFont="1" applyBorder="1" applyAlignment="1">
      <alignment horizontal="left" vertical="center" wrapText="1"/>
    </xf>
    <xf numFmtId="0" fontId="16" fillId="0" borderId="17" xfId="0" applyFont="1" applyBorder="1" applyAlignment="1">
      <alignment horizontal="left" vertical="center" wrapText="1"/>
    </xf>
    <xf numFmtId="0" fontId="16" fillId="0" borderId="17" xfId="0" applyFont="1" applyBorder="1" applyAlignment="1">
      <alignment horizontal="left" vertical="center"/>
    </xf>
    <xf numFmtId="0" fontId="15" fillId="11" borderId="26" xfId="0" applyFont="1" applyFill="1" applyBorder="1" applyAlignment="1">
      <alignment horizontal="center" vertical="center" wrapText="1"/>
    </xf>
    <xf numFmtId="0" fontId="30" fillId="12" borderId="1" xfId="0" applyFont="1" applyFill="1" applyBorder="1" applyAlignment="1">
      <alignment horizontal="center" vertical="center" wrapText="1"/>
    </xf>
    <xf numFmtId="0" fontId="29" fillId="12" borderId="1" xfId="0" applyFont="1" applyFill="1" applyBorder="1" applyAlignment="1">
      <alignment horizontal="center" vertical="center" wrapText="1"/>
    </xf>
    <xf numFmtId="0" fontId="8" fillId="13" borderId="1" xfId="0" applyFont="1" applyFill="1" applyBorder="1" applyAlignment="1">
      <alignment horizontal="center" vertical="center"/>
    </xf>
    <xf numFmtId="0" fontId="29" fillId="12" borderId="0" xfId="0" applyFont="1" applyFill="1"/>
    <xf numFmtId="0" fontId="20" fillId="0" borderId="0" xfId="0" applyFont="1"/>
    <xf numFmtId="0" fontId="17" fillId="0" borderId="17" xfId="0" applyFont="1" applyBorder="1" applyAlignment="1">
      <alignment horizontal="center" vertical="center" wrapText="1"/>
    </xf>
    <xf numFmtId="0" fontId="17" fillId="0" borderId="17" xfId="0" applyFont="1" applyFill="1" applyBorder="1" applyAlignment="1">
      <alignment horizontal="center" vertical="center" wrapText="1" readingOrder="1"/>
    </xf>
    <xf numFmtId="0" fontId="17" fillId="0" borderId="1" xfId="0" applyFont="1" applyBorder="1" applyAlignment="1">
      <alignment horizontal="left" vertical="center" wrapText="1" readingOrder="1"/>
    </xf>
    <xf numFmtId="0" fontId="28" fillId="0" borderId="1" xfId="1" applyFont="1" applyBorder="1" applyAlignment="1">
      <alignment horizontal="center" vertical="center" wrapText="1"/>
    </xf>
    <xf numFmtId="0" fontId="27" fillId="0" borderId="1" xfId="1" applyFont="1" applyBorder="1" applyAlignment="1">
      <alignment horizontal="center" vertical="center" wrapText="1"/>
    </xf>
    <xf numFmtId="0" fontId="28" fillId="0" borderId="27" xfId="1" applyFont="1" applyBorder="1" applyAlignment="1">
      <alignment horizontal="center" vertical="center" wrapText="1"/>
    </xf>
    <xf numFmtId="0" fontId="28" fillId="0" borderId="19" xfId="1" applyFont="1" applyBorder="1" applyAlignment="1">
      <alignment horizontal="center" vertical="center" wrapText="1"/>
    </xf>
    <xf numFmtId="0" fontId="17" fillId="0" borderId="1" xfId="0" applyFont="1" applyBorder="1" applyAlignment="1">
      <alignment horizontal="center" vertical="center" wrapText="1" readingOrder="1"/>
    </xf>
    <xf numFmtId="0" fontId="4" fillId="0" borderId="1" xfId="0" applyFont="1" applyBorder="1"/>
    <xf numFmtId="0" fontId="1" fillId="5" borderId="2" xfId="0" applyFont="1" applyFill="1" applyBorder="1" applyAlignment="1">
      <alignment vertical="center" wrapText="1"/>
    </xf>
    <xf numFmtId="0" fontId="2" fillId="3" borderId="2" xfId="0" applyFont="1" applyFill="1" applyBorder="1" applyAlignment="1">
      <alignment vertical="center" wrapText="1"/>
    </xf>
    <xf numFmtId="0" fontId="0" fillId="0" borderId="1" xfId="0" applyBorder="1"/>
    <xf numFmtId="0" fontId="0" fillId="0" borderId="0" xfId="0"/>
    <xf numFmtId="0" fontId="6" fillId="8" borderId="1" xfId="0" applyFont="1" applyFill="1" applyBorder="1" applyAlignment="1">
      <alignment horizontal="center" vertical="center" wrapText="1"/>
    </xf>
    <xf numFmtId="0" fontId="7" fillId="0" borderId="0" xfId="0" applyFont="1" applyAlignment="1">
      <alignment horizontal="center" vertical="center"/>
    </xf>
    <xf numFmtId="0" fontId="4" fillId="0" borderId="0" xfId="0" applyFont="1" applyAlignment="1">
      <alignment horizontal="center" vertical="center"/>
    </xf>
    <xf numFmtId="0" fontId="6" fillId="8" borderId="17" xfId="0" applyFont="1" applyFill="1" applyBorder="1" applyAlignment="1">
      <alignment horizontal="center" vertical="center" wrapText="1" readingOrder="1"/>
    </xf>
    <xf numFmtId="0" fontId="15" fillId="11" borderId="28" xfId="0" applyFont="1" applyFill="1" applyBorder="1" applyAlignment="1">
      <alignment horizontal="center" vertical="center" wrapText="1"/>
    </xf>
    <xf numFmtId="0" fontId="15" fillId="11" borderId="14" xfId="0" applyFont="1" applyFill="1" applyBorder="1" applyAlignment="1">
      <alignment horizontal="center" vertical="center" wrapText="1"/>
    </xf>
    <xf numFmtId="0" fontId="15" fillId="11" borderId="29" xfId="0" applyFont="1" applyFill="1" applyBorder="1" applyAlignment="1">
      <alignment horizontal="center" vertical="center" wrapText="1"/>
    </xf>
    <xf numFmtId="0" fontId="15" fillId="11" borderId="17" xfId="0" applyFont="1" applyFill="1" applyBorder="1" applyAlignment="1">
      <alignment horizontal="center" vertical="center" wrapText="1"/>
    </xf>
    <xf numFmtId="0" fontId="0" fillId="0" borderId="0" xfId="0"/>
    <xf numFmtId="0" fontId="15" fillId="11" borderId="23" xfId="0" applyFont="1" applyFill="1" applyBorder="1" applyAlignment="1">
      <alignment horizontal="center" vertical="center" wrapText="1"/>
    </xf>
    <xf numFmtId="0" fontId="4" fillId="0" borderId="17" xfId="0" applyFont="1" applyBorder="1" applyAlignment="1">
      <alignment horizontal="center" vertical="center"/>
    </xf>
    <xf numFmtId="0" fontId="0" fillId="0" borderId="17" xfId="0" applyBorder="1" applyAlignment="1">
      <alignment horizontal="center" vertical="center"/>
    </xf>
    <xf numFmtId="0" fontId="5" fillId="0" borderId="1" xfId="0" applyFont="1" applyBorder="1" applyAlignment="1">
      <alignment horizontal="center" vertical="center" wrapText="1"/>
    </xf>
    <xf numFmtId="0" fontId="8" fillId="0" borderId="1" xfId="0" applyFont="1" applyBorder="1" applyAlignment="1">
      <alignment horizontal="center" vertical="center"/>
    </xf>
    <xf numFmtId="0" fontId="20" fillId="0" borderId="17" xfId="0" applyFont="1" applyBorder="1" applyAlignment="1">
      <alignment horizontal="center" vertical="center"/>
    </xf>
    <xf numFmtId="0" fontId="0" fillId="0" borderId="0" xfId="0" applyAlignment="1">
      <alignment horizontal="left" vertical="center"/>
    </xf>
    <xf numFmtId="0" fontId="7" fillId="0" borderId="0" xfId="0" applyFont="1" applyAlignment="1">
      <alignment horizontal="center"/>
    </xf>
    <xf numFmtId="0" fontId="4" fillId="0" borderId="0" xfId="0" applyFont="1" applyBorder="1" applyAlignment="1">
      <alignment horizontal="center" vertical="center" wrapText="1"/>
    </xf>
    <xf numFmtId="0" fontId="5" fillId="0" borderId="0" xfId="0" applyFont="1" applyBorder="1" applyAlignment="1">
      <alignment horizontal="center" vertical="center" wrapText="1"/>
    </xf>
    <xf numFmtId="0" fontId="0" fillId="0" borderId="0" xfId="0" applyAlignment="1">
      <alignment vertical="center"/>
    </xf>
    <xf numFmtId="49" fontId="0" fillId="0" borderId="0" xfId="0" applyNumberFormat="1" applyAlignment="1">
      <alignment vertical="center"/>
    </xf>
    <xf numFmtId="0" fontId="4" fillId="0" borderId="0" xfId="0" applyFont="1" applyBorder="1" applyAlignment="1">
      <alignment horizontal="center" vertical="center"/>
    </xf>
    <xf numFmtId="0" fontId="8" fillId="0" borderId="1" xfId="0" applyFont="1" applyBorder="1" applyAlignment="1">
      <alignment horizontal="center" vertical="center" wrapText="1"/>
    </xf>
    <xf numFmtId="0" fontId="4" fillId="0" borderId="0" xfId="0" applyFont="1" applyAlignment="1">
      <alignment vertical="top"/>
    </xf>
    <xf numFmtId="0" fontId="24" fillId="16" borderId="17" xfId="0" applyFont="1" applyFill="1" applyBorder="1" applyAlignment="1">
      <alignment horizontal="center" vertical="center" wrapText="1"/>
    </xf>
    <xf numFmtId="0" fontId="11" fillId="11" borderId="17" xfId="0" applyFont="1" applyFill="1" applyBorder="1" applyAlignment="1">
      <alignment horizontal="left" vertical="center" wrapText="1"/>
    </xf>
    <xf numFmtId="49" fontId="20" fillId="0" borderId="14" xfId="0" applyNumberFormat="1" applyFont="1" applyBorder="1" applyAlignment="1">
      <alignment horizontal="center" vertical="center"/>
    </xf>
    <xf numFmtId="0" fontId="24" fillId="16" borderId="19" xfId="0" applyFont="1" applyFill="1" applyBorder="1" applyAlignment="1">
      <alignment horizontal="center" vertical="center"/>
    </xf>
    <xf numFmtId="0" fontId="35" fillId="8" borderId="1" xfId="2" applyFont="1" applyFill="1" applyBorder="1" applyAlignment="1">
      <alignment horizontal="center" vertical="center" wrapText="1" readingOrder="1"/>
    </xf>
    <xf numFmtId="0" fontId="36" fillId="18" borderId="36" xfId="0" applyFont="1" applyFill="1" applyBorder="1" applyAlignment="1">
      <alignment vertical="center" wrapText="1"/>
    </xf>
    <xf numFmtId="0" fontId="36" fillId="18" borderId="27" xfId="0" applyFont="1" applyFill="1" applyBorder="1" applyAlignment="1">
      <alignment vertical="center" wrapText="1"/>
    </xf>
    <xf numFmtId="0" fontId="36" fillId="18" borderId="7" xfId="0" applyFont="1" applyFill="1" applyBorder="1" applyAlignment="1">
      <alignment vertical="center" wrapText="1"/>
    </xf>
    <xf numFmtId="0" fontId="36" fillId="18" borderId="2" xfId="0" applyFont="1" applyFill="1" applyBorder="1" applyAlignment="1">
      <alignment vertical="center" wrapText="1"/>
    </xf>
    <xf numFmtId="0" fontId="6" fillId="12" borderId="30" xfId="0" applyFont="1" applyFill="1" applyBorder="1" applyAlignment="1">
      <alignment horizontal="center" vertical="center"/>
    </xf>
    <xf numFmtId="0" fontId="4" fillId="0" borderId="1" xfId="0" applyFont="1" applyBorder="1" applyAlignment="1">
      <alignment vertical="top" wrapText="1"/>
    </xf>
    <xf numFmtId="0" fontId="0" fillId="0" borderId="0" xfId="0" applyAlignment="1">
      <alignment vertical="top" wrapText="1"/>
    </xf>
    <xf numFmtId="0" fontId="16" fillId="0" borderId="23" xfId="0" applyFont="1" applyBorder="1" applyAlignment="1">
      <alignment horizontal="left" vertical="top" wrapText="1"/>
    </xf>
    <xf numFmtId="0" fontId="0" fillId="0" borderId="0" xfId="0" applyAlignment="1">
      <alignment horizontal="center" vertical="top"/>
    </xf>
    <xf numFmtId="0" fontId="0" fillId="0" borderId="0" xfId="0" applyAlignment="1">
      <alignment horizontal="center"/>
    </xf>
    <xf numFmtId="0" fontId="0" fillId="0" borderId="0" xfId="0" applyAlignment="1">
      <alignment horizontal="left"/>
    </xf>
    <xf numFmtId="0" fontId="34" fillId="8" borderId="1" xfId="2" applyFill="1" applyBorder="1" applyAlignment="1">
      <alignment horizontal="center" vertical="center" wrapText="1" readingOrder="1"/>
    </xf>
    <xf numFmtId="0" fontId="34" fillId="11" borderId="19" xfId="2" applyFill="1" applyBorder="1" applyAlignment="1">
      <alignment horizontal="left" vertical="center" wrapText="1"/>
    </xf>
    <xf numFmtId="0" fontId="16" fillId="0" borderId="1" xfId="0" applyFont="1" applyBorder="1" applyAlignment="1">
      <alignment horizontal="center" vertical="center" wrapText="1"/>
    </xf>
    <xf numFmtId="0" fontId="5" fillId="0" borderId="19" xfId="0" applyFont="1" applyBorder="1" applyAlignment="1">
      <alignment horizontal="center" vertical="center"/>
    </xf>
    <xf numFmtId="0" fontId="17" fillId="0" borderId="17" xfId="0" applyFont="1" applyBorder="1" applyAlignment="1">
      <alignment horizontal="center" vertical="center" wrapText="1" readingOrder="1"/>
    </xf>
    <xf numFmtId="0" fontId="17" fillId="0" borderId="19" xfId="0" applyFont="1" applyBorder="1" applyAlignment="1">
      <alignment horizontal="center" vertical="center" wrapText="1" readingOrder="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18" fillId="0" borderId="1" xfId="0" applyFont="1" applyBorder="1" applyAlignment="1">
      <alignment horizontal="left" vertical="center" wrapText="1"/>
    </xf>
    <xf numFmtId="0" fontId="37" fillId="0" borderId="1" xfId="0" applyFont="1" applyBorder="1" applyAlignment="1">
      <alignment horizontal="left" vertical="center" wrapText="1"/>
    </xf>
    <xf numFmtId="0" fontId="38" fillId="0" borderId="1" xfId="0" applyFont="1" applyBorder="1" applyAlignment="1">
      <alignment horizontal="left" vertical="center" wrapText="1"/>
    </xf>
    <xf numFmtId="0" fontId="39" fillId="0" borderId="1" xfId="0" applyFont="1" applyBorder="1" applyAlignment="1">
      <alignment horizontal="left" vertical="center" wrapText="1"/>
    </xf>
    <xf numFmtId="0" fontId="36" fillId="0" borderId="1" xfId="0" applyFont="1" applyBorder="1" applyAlignment="1">
      <alignment horizontal="left" vertical="center" wrapText="1"/>
    </xf>
    <xf numFmtId="0" fontId="18" fillId="0" borderId="0" xfId="0" applyFont="1" applyAlignment="1">
      <alignment horizontal="center"/>
    </xf>
    <xf numFmtId="0" fontId="18" fillId="0" borderId="0" xfId="0" applyFont="1" applyAlignment="1">
      <alignment horizontal="left" vertical="center"/>
    </xf>
    <xf numFmtId="0" fontId="18" fillId="0" borderId="1" xfId="0" applyFont="1" applyFill="1" applyBorder="1" applyAlignment="1">
      <alignment horizontal="left" vertical="center"/>
    </xf>
    <xf numFmtId="0" fontId="0" fillId="0" borderId="30" xfId="0" applyFill="1" applyBorder="1"/>
    <xf numFmtId="0" fontId="2" fillId="0" borderId="17" xfId="0" applyFont="1" applyBorder="1" applyAlignment="1">
      <alignment horizontal="center" vertical="center" wrapText="1"/>
    </xf>
    <xf numFmtId="0" fontId="18" fillId="0" borderId="17" xfId="0" applyFont="1" applyBorder="1" applyAlignment="1">
      <alignment horizontal="center" vertical="center" wrapText="1"/>
    </xf>
    <xf numFmtId="0" fontId="0" fillId="0" borderId="23" xfId="0" applyBorder="1"/>
    <xf numFmtId="0" fontId="41" fillId="20" borderId="25" xfId="0" applyFont="1" applyFill="1" applyBorder="1" applyAlignment="1">
      <alignment horizontal="center" vertical="center" wrapText="1"/>
    </xf>
    <xf numFmtId="0" fontId="41" fillId="20" borderId="20" xfId="0" applyFont="1" applyFill="1" applyBorder="1" applyAlignment="1">
      <alignment horizontal="left" vertical="center" wrapText="1"/>
    </xf>
    <xf numFmtId="0" fontId="29" fillId="20" borderId="20" xfId="0" applyFont="1" applyFill="1" applyBorder="1"/>
    <xf numFmtId="0" fontId="29" fillId="20" borderId="37" xfId="0" applyFont="1" applyFill="1" applyBorder="1"/>
    <xf numFmtId="0" fontId="15" fillId="11" borderId="23" xfId="0" applyFont="1" applyFill="1" applyBorder="1" applyAlignment="1">
      <alignment horizontal="center" vertical="center" wrapText="1" readingOrder="1"/>
    </xf>
    <xf numFmtId="0" fontId="2" fillId="0" borderId="10" xfId="0" applyFont="1" applyBorder="1" applyAlignment="1">
      <alignment vertical="center" wrapText="1"/>
    </xf>
    <xf numFmtId="0" fontId="5" fillId="0" borderId="38" xfId="0" applyFont="1" applyBorder="1" applyAlignment="1">
      <alignment horizontal="center" vertical="center"/>
    </xf>
    <xf numFmtId="0" fontId="5" fillId="0" borderId="37" xfId="0" applyFont="1" applyBorder="1" applyAlignment="1">
      <alignment horizontal="center" vertical="center"/>
    </xf>
    <xf numFmtId="0" fontId="5" fillId="0" borderId="39" xfId="0" applyFont="1" applyBorder="1" applyAlignment="1">
      <alignment horizontal="center" vertical="center"/>
    </xf>
    <xf numFmtId="0" fontId="5" fillId="0" borderId="40" xfId="0" applyFont="1" applyBorder="1" applyAlignment="1">
      <alignment horizontal="center" vertical="center"/>
    </xf>
    <xf numFmtId="0" fontId="5" fillId="0" borderId="41" xfId="0" applyFont="1" applyBorder="1" applyAlignment="1">
      <alignment horizontal="center" vertical="center"/>
    </xf>
    <xf numFmtId="0" fontId="4" fillId="0" borderId="0" xfId="0" applyFont="1" applyAlignment="1">
      <alignment horizontal="center" wrapText="1"/>
    </xf>
    <xf numFmtId="0" fontId="4" fillId="0" borderId="0" xfId="0" applyFont="1" applyAlignment="1">
      <alignment horizontal="center" vertical="center" wrapText="1"/>
    </xf>
    <xf numFmtId="0" fontId="4" fillId="0" borderId="1" xfId="0" applyFont="1" applyBorder="1" applyAlignment="1">
      <alignment wrapText="1"/>
    </xf>
    <xf numFmtId="0" fontId="0" fillId="0" borderId="0" xfId="0" applyAlignment="1">
      <alignment wrapText="1"/>
    </xf>
    <xf numFmtId="0" fontId="7" fillId="0" borderId="0" xfId="0" applyFont="1" applyAlignment="1">
      <alignment horizontal="center" vertical="center" wrapText="1"/>
    </xf>
    <xf numFmtId="0" fontId="4" fillId="0" borderId="0" xfId="0" applyFont="1" applyAlignment="1">
      <alignment vertical="center" wrapText="1"/>
    </xf>
    <xf numFmtId="0" fontId="34" fillId="0" borderId="1" xfId="2" applyBorder="1" applyAlignment="1">
      <alignment horizontal="center" vertical="center" wrapText="1"/>
    </xf>
    <xf numFmtId="0" fontId="34" fillId="0" borderId="1" xfId="2" applyBorder="1" applyAlignment="1">
      <alignment horizontal="center" wrapText="1"/>
    </xf>
    <xf numFmtId="0" fontId="11" fillId="3" borderId="0" xfId="0" applyFont="1" applyFill="1" applyBorder="1" applyAlignment="1">
      <alignment horizontal="left" vertical="center" wrapText="1"/>
    </xf>
    <xf numFmtId="0" fontId="7" fillId="3" borderId="0" xfId="0" applyFont="1" applyFill="1" applyBorder="1" applyAlignment="1">
      <alignment horizontal="left" vertical="top"/>
    </xf>
    <xf numFmtId="0" fontId="34" fillId="0" borderId="0" xfId="2" applyFill="1" applyAlignment="1">
      <alignment horizontal="center" vertical="center"/>
    </xf>
    <xf numFmtId="0" fontId="34" fillId="0" borderId="0" xfId="2" applyAlignment="1">
      <alignment horizontal="center" vertical="center" wrapText="1"/>
    </xf>
    <xf numFmtId="0" fontId="34" fillId="0" borderId="1" xfId="2" applyBorder="1" applyAlignment="1">
      <alignment horizontal="center" vertical="center"/>
    </xf>
    <xf numFmtId="0" fontId="7" fillId="0" borderId="14" xfId="0" applyFont="1" applyFill="1" applyBorder="1" applyAlignment="1">
      <alignment horizontal="left" vertical="top"/>
    </xf>
    <xf numFmtId="0" fontId="7" fillId="0" borderId="17" xfId="0" applyFont="1" applyFill="1" applyBorder="1" applyAlignment="1">
      <alignment horizontal="left" vertical="top"/>
    </xf>
    <xf numFmtId="0" fontId="11" fillId="11" borderId="1" xfId="0" applyFont="1" applyFill="1" applyBorder="1" applyAlignment="1">
      <alignment horizontal="left" vertical="center" wrapText="1"/>
    </xf>
    <xf numFmtId="0" fontId="0" fillId="0" borderId="0" xfId="0" applyAlignment="1"/>
    <xf numFmtId="0" fontId="4" fillId="0" borderId="0" xfId="0" applyFont="1" applyAlignment="1">
      <alignment horizontal="center"/>
    </xf>
    <xf numFmtId="0" fontId="5" fillId="0" borderId="1" xfId="0" applyFont="1" applyBorder="1" applyAlignment="1">
      <alignment wrapText="1"/>
    </xf>
    <xf numFmtId="0" fontId="8" fillId="0" borderId="23" xfId="0" applyFont="1" applyFill="1" applyBorder="1" applyAlignment="1">
      <alignment horizontal="left" vertical="top"/>
    </xf>
    <xf numFmtId="0" fontId="8" fillId="0" borderId="14" xfId="0" applyFont="1" applyFill="1" applyBorder="1" applyAlignment="1">
      <alignment horizontal="left" vertical="top"/>
    </xf>
    <xf numFmtId="0" fontId="8" fillId="0" borderId="17" xfId="0" applyFont="1" applyFill="1" applyBorder="1" applyAlignment="1">
      <alignment horizontal="left" vertical="top"/>
    </xf>
    <xf numFmtId="0" fontId="7" fillId="0" borderId="1" xfId="0" applyFont="1" applyFill="1" applyBorder="1" applyAlignment="1">
      <alignment horizontal="left" vertical="top"/>
    </xf>
    <xf numFmtId="0" fontId="7" fillId="0" borderId="17" xfId="0" applyFont="1" applyFill="1" applyBorder="1" applyAlignment="1">
      <alignment horizontal="left" vertical="top"/>
    </xf>
    <xf numFmtId="0" fontId="8" fillId="0" borderId="1" xfId="0" applyFont="1" applyFill="1" applyBorder="1" applyAlignment="1">
      <alignment horizontal="left" vertical="top"/>
    </xf>
    <xf numFmtId="0" fontId="5" fillId="14" borderId="1" xfId="0" applyFont="1" applyFill="1" applyBorder="1" applyAlignment="1">
      <alignment horizontal="left" vertical="center" wrapText="1"/>
    </xf>
    <xf numFmtId="0" fontId="0" fillId="0" borderId="1" xfId="0" applyBorder="1" applyAlignment="1">
      <alignment horizontal="left" vertical="center"/>
    </xf>
    <xf numFmtId="0" fontId="14" fillId="11" borderId="2" xfId="0" applyFont="1" applyFill="1" applyBorder="1" applyAlignment="1">
      <alignment horizontal="left" vertical="top" wrapText="1"/>
    </xf>
    <xf numFmtId="0" fontId="14" fillId="11" borderId="8" xfId="0" applyFont="1" applyFill="1" applyBorder="1" applyAlignment="1">
      <alignment horizontal="left" vertical="top" wrapText="1"/>
    </xf>
    <xf numFmtId="0" fontId="9" fillId="8" borderId="9" xfId="0" applyFont="1" applyFill="1" applyBorder="1" applyAlignment="1">
      <alignment horizontal="left" vertical="top" wrapText="1"/>
    </xf>
    <xf numFmtId="0" fontId="9" fillId="8" borderId="10" xfId="0" applyFont="1" applyFill="1" applyBorder="1" applyAlignment="1">
      <alignment horizontal="left" vertical="top" wrapText="1"/>
    </xf>
    <xf numFmtId="0" fontId="7" fillId="0" borderId="1" xfId="0" applyFont="1" applyFill="1" applyBorder="1" applyAlignment="1">
      <alignment horizontal="left" vertical="center"/>
    </xf>
    <xf numFmtId="0" fontId="0" fillId="0" borderId="1" xfId="0" applyBorder="1" applyAlignment="1"/>
    <xf numFmtId="0" fontId="7" fillId="0" borderId="15" xfId="0" applyFont="1" applyFill="1" applyBorder="1" applyAlignment="1">
      <alignment horizontal="left" vertical="top"/>
    </xf>
    <xf numFmtId="0" fontId="7" fillId="0" borderId="16" xfId="0" applyFont="1" applyFill="1" applyBorder="1" applyAlignment="1">
      <alignment horizontal="left" vertical="top"/>
    </xf>
    <xf numFmtId="0" fontId="7" fillId="0" borderId="0" xfId="0" applyFont="1" applyAlignment="1"/>
    <xf numFmtId="0" fontId="0" fillId="0" borderId="0" xfId="0" applyAlignment="1"/>
    <xf numFmtId="0" fontId="5" fillId="2" borderId="1" xfId="0" applyFont="1" applyFill="1" applyBorder="1" applyAlignment="1">
      <alignment horizontal="left" vertical="center" wrapText="1"/>
    </xf>
    <xf numFmtId="0" fontId="10" fillId="8" borderId="13" xfId="0" applyFont="1" applyFill="1" applyBorder="1" applyAlignment="1">
      <alignment wrapText="1"/>
    </xf>
    <xf numFmtId="0" fontId="5" fillId="7" borderId="1" xfId="0" applyFont="1" applyFill="1" applyBorder="1" applyAlignment="1">
      <alignment horizontal="left" vertical="center" wrapText="1"/>
    </xf>
    <xf numFmtId="0" fontId="5" fillId="6" borderId="1" xfId="0" applyFont="1" applyFill="1" applyBorder="1" applyAlignment="1">
      <alignment horizontal="left" vertical="center" wrapText="1"/>
    </xf>
    <xf numFmtId="0" fontId="8" fillId="0" borderId="0" xfId="0" applyFont="1" applyAlignment="1">
      <alignment wrapText="1"/>
    </xf>
    <xf numFmtId="0" fontId="7" fillId="0" borderId="42" xfId="0" applyFont="1" applyFill="1" applyBorder="1" applyAlignment="1">
      <alignment horizontal="left" vertical="top"/>
    </xf>
    <xf numFmtId="0" fontId="7" fillId="0" borderId="25" xfId="0" applyFont="1" applyFill="1" applyBorder="1" applyAlignment="1">
      <alignment horizontal="left" vertical="top"/>
    </xf>
    <xf numFmtId="17" fontId="7" fillId="0" borderId="14" xfId="0" applyNumberFormat="1" applyFont="1" applyFill="1" applyBorder="1" applyAlignment="1">
      <alignment horizontal="left" vertical="top"/>
    </xf>
    <xf numFmtId="0" fontId="7" fillId="0" borderId="14" xfId="0" applyFont="1" applyFill="1" applyBorder="1" applyAlignment="1">
      <alignment horizontal="left" vertical="top"/>
    </xf>
    <xf numFmtId="0" fontId="7" fillId="0" borderId="23" xfId="0" applyFont="1" applyFill="1" applyBorder="1" applyAlignment="1">
      <alignment horizontal="left" vertical="top"/>
    </xf>
    <xf numFmtId="0" fontId="14" fillId="11" borderId="10" xfId="0" applyFont="1" applyFill="1" applyBorder="1" applyAlignment="1">
      <alignment horizontal="left" vertical="top" wrapText="1"/>
    </xf>
    <xf numFmtId="0" fontId="5" fillId="19" borderId="1" xfId="0" applyFont="1" applyFill="1" applyBorder="1" applyAlignment="1">
      <alignment horizontal="left" vertical="center" wrapText="1"/>
    </xf>
    <xf numFmtId="0" fontId="0" fillId="19" borderId="1" xfId="0" applyFill="1" applyBorder="1" applyAlignment="1">
      <alignment horizontal="left" vertical="center"/>
    </xf>
    <xf numFmtId="0" fontId="5" fillId="10" borderId="1" xfId="0" applyFont="1" applyFill="1" applyBorder="1" applyAlignment="1">
      <alignment horizontal="left" vertical="center" wrapText="1"/>
    </xf>
    <xf numFmtId="0" fontId="5" fillId="9" borderId="1" xfId="0" applyFont="1" applyFill="1" applyBorder="1" applyAlignment="1">
      <alignment horizontal="left" vertical="center" wrapText="1"/>
    </xf>
    <xf numFmtId="0" fontId="12" fillId="11" borderId="0" xfId="0" applyFont="1" applyFill="1" applyAlignment="1">
      <alignment horizontal="center" vertical="center" wrapText="1"/>
    </xf>
    <xf numFmtId="0" fontId="32" fillId="17" borderId="33" xfId="0" applyFont="1" applyFill="1" applyBorder="1" applyAlignment="1">
      <alignment horizontal="center" vertical="center" wrapText="1"/>
    </xf>
    <xf numFmtId="0" fontId="32" fillId="17" borderId="34" xfId="0" applyFont="1" applyFill="1" applyBorder="1" applyAlignment="1">
      <alignment horizontal="center" vertical="center" wrapText="1"/>
    </xf>
    <xf numFmtId="0" fontId="32" fillId="17" borderId="35" xfId="0" applyFont="1" applyFill="1" applyBorder="1" applyAlignment="1">
      <alignment horizontal="center" vertical="center" wrapText="1"/>
    </xf>
    <xf numFmtId="0" fontId="22" fillId="15" borderId="0" xfId="0" applyFont="1" applyFill="1" applyAlignment="1">
      <alignment horizontal="center" vertical="center" wrapText="1"/>
    </xf>
    <xf numFmtId="0" fontId="23" fillId="15" borderId="0" xfId="0" applyFont="1" applyFill="1" applyAlignment="1">
      <alignment horizontal="center" vertical="center"/>
    </xf>
    <xf numFmtId="0" fontId="24" fillId="16" borderId="1" xfId="0" applyFont="1" applyFill="1" applyBorder="1" applyAlignment="1">
      <alignment horizontal="center" vertical="center"/>
    </xf>
    <xf numFmtId="0" fontId="25" fillId="16" borderId="1" xfId="0" applyFont="1" applyFill="1" applyBorder="1" applyAlignment="1">
      <alignment horizontal="center" vertical="center"/>
    </xf>
    <xf numFmtId="0" fontId="8" fillId="0" borderId="17" xfId="0" applyFont="1" applyBorder="1" applyAlignment="1">
      <alignment horizontal="center" vertical="center" wrapText="1"/>
    </xf>
    <xf numFmtId="0" fontId="20" fillId="0" borderId="1" xfId="0" applyFont="1" applyBorder="1" applyAlignment="1">
      <alignment horizontal="center" vertical="center" wrapText="1"/>
    </xf>
    <xf numFmtId="0" fontId="34" fillId="0" borderId="1" xfId="2" applyFill="1" applyBorder="1" applyAlignment="1">
      <alignment horizontal="left" vertical="top"/>
    </xf>
    <xf numFmtId="0" fontId="0" fillId="0" borderId="14" xfId="0" applyBorder="1" applyAlignment="1">
      <alignment horizontal="left" vertical="top"/>
    </xf>
    <xf numFmtId="0" fontId="0" fillId="0" borderId="17" xfId="0" applyBorder="1" applyAlignment="1">
      <alignment horizontal="left" vertical="top"/>
    </xf>
    <xf numFmtId="0" fontId="11" fillId="11" borderId="1" xfId="0" applyFont="1" applyFill="1" applyBorder="1" applyAlignment="1">
      <alignment horizontal="left" vertical="center" wrapText="1"/>
    </xf>
    <xf numFmtId="0" fontId="15" fillId="11" borderId="31"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15" fillId="11" borderId="25" xfId="0" applyFont="1" applyFill="1" applyBorder="1" applyAlignment="1">
      <alignment horizontal="center" vertical="center" wrapText="1"/>
    </xf>
    <xf numFmtId="0" fontId="12" fillId="11" borderId="0" xfId="0" applyFont="1" applyFill="1" applyAlignment="1">
      <alignment horizontal="center"/>
    </xf>
    <xf numFmtId="0" fontId="4" fillId="0" borderId="0" xfId="0" applyFont="1" applyAlignment="1">
      <alignment horizontal="center"/>
    </xf>
    <xf numFmtId="0" fontId="15" fillId="11" borderId="19" xfId="0" applyFont="1" applyFill="1" applyBorder="1" applyAlignment="1">
      <alignment horizontal="center" vertical="center" wrapText="1"/>
    </xf>
    <xf numFmtId="0" fontId="15" fillId="11" borderId="30" xfId="0" applyFont="1" applyFill="1" applyBorder="1" applyAlignment="1">
      <alignment horizontal="center" vertical="center" wrapText="1"/>
    </xf>
    <xf numFmtId="0" fontId="15" fillId="11" borderId="20" xfId="0" applyFont="1" applyFill="1" applyBorder="1" applyAlignment="1">
      <alignment horizontal="center" vertical="center" wrapText="1"/>
    </xf>
    <xf numFmtId="0" fontId="12" fillId="11" borderId="0" xfId="0" applyFont="1" applyFill="1" applyAlignment="1">
      <alignment horizontal="center" vertical="center"/>
    </xf>
    <xf numFmtId="0" fontId="12" fillId="15" borderId="0" xfId="0" applyFont="1" applyFill="1" applyAlignment="1">
      <alignment horizontal="center" vertical="center"/>
    </xf>
    <xf numFmtId="0" fontId="13" fillId="15" borderId="0" xfId="0" applyFont="1" applyFill="1" applyAlignment="1">
      <alignment horizontal="center" vertical="center"/>
    </xf>
    <xf numFmtId="0" fontId="0" fillId="0" borderId="11" xfId="0" applyBorder="1" applyAlignment="1"/>
    <xf numFmtId="0" fontId="0" fillId="0" borderId="3" xfId="0" applyBorder="1" applyAlignment="1"/>
    <xf numFmtId="0" fontId="0" fillId="0" borderId="4" xfId="0" applyBorder="1" applyAlignment="1"/>
    <xf numFmtId="0" fontId="0" fillId="0" borderId="13" xfId="0" applyBorder="1" applyAlignment="1"/>
    <xf numFmtId="0" fontId="0" fillId="0" borderId="0" xfId="0" applyBorder="1" applyAlignment="1"/>
    <xf numFmtId="0" fontId="0" fillId="0" borderId="21" xfId="0" applyBorder="1" applyAlignment="1"/>
    <xf numFmtId="0" fontId="0" fillId="0" borderId="22" xfId="0" applyBorder="1" applyAlignment="1"/>
    <xf numFmtId="0" fontId="0" fillId="0" borderId="5" xfId="0" applyBorder="1" applyAlignment="1"/>
    <xf numFmtId="0" fontId="0" fillId="0" borderId="6" xfId="0" applyBorder="1" applyAlignment="1"/>
    <xf numFmtId="0" fontId="12" fillId="15" borderId="0" xfId="0" applyFont="1" applyFill="1" applyAlignment="1"/>
    <xf numFmtId="0" fontId="1" fillId="4" borderId="8"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5" borderId="8"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 fillId="5" borderId="10" xfId="0" applyFont="1" applyFill="1" applyBorder="1" applyAlignment="1">
      <alignment horizontal="center" vertical="center" wrapText="1"/>
    </xf>
    <xf numFmtId="0" fontId="36" fillId="18" borderId="27" xfId="0" applyFont="1" applyFill="1" applyBorder="1" applyAlignment="1">
      <alignment horizontal="center" vertical="center" wrapText="1"/>
    </xf>
    <xf numFmtId="0" fontId="36" fillId="18" borderId="36" xfId="0" applyFont="1" applyFill="1" applyBorder="1" applyAlignment="1">
      <alignment horizontal="center" vertical="center" wrapText="1"/>
    </xf>
    <xf numFmtId="0" fontId="36" fillId="18" borderId="7" xfId="0" applyFont="1" applyFill="1" applyBorder="1" applyAlignment="1">
      <alignment horizontal="center" vertical="center" wrapText="1"/>
    </xf>
    <xf numFmtId="0" fontId="36" fillId="18" borderId="27" xfId="0" applyFont="1" applyFill="1" applyBorder="1" applyAlignment="1">
      <alignment horizontal="left" vertical="center" wrapText="1"/>
    </xf>
    <xf numFmtId="0" fontId="36" fillId="18" borderId="36" xfId="0" applyFont="1" applyFill="1" applyBorder="1" applyAlignment="1">
      <alignment horizontal="left" vertical="center" wrapText="1"/>
    </xf>
    <xf numFmtId="0" fontId="36" fillId="18" borderId="7" xfId="0" applyFont="1" applyFill="1" applyBorder="1" applyAlignment="1">
      <alignment horizontal="left" vertical="center" wrapText="1"/>
    </xf>
  </cellXfs>
  <cellStyles count="3">
    <cellStyle name="Hyperlink" xfId="2" builtinId="8"/>
    <cellStyle name="Normal" xfId="0" builtinId="0"/>
    <cellStyle name="Normal 2" xfId="1" xr:uid="{FF003606-9A2C-4BBC-B81F-B6995FE947C2}"/>
  </cellStyles>
  <dxfs count="18">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auto="1"/>
        </left>
        <right style="thin">
          <color auto="1"/>
        </right>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border diagonalUp="0" diagonalDown="0" outline="0">
        <left style="thin">
          <color auto="1"/>
        </left>
        <right style="thin">
          <color auto="1"/>
        </right>
        <top/>
        <bottom/>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FEE634"/>
      <color rgb="FFD62900"/>
      <color rgb="FFFBC80D"/>
      <color rgb="FF00148C"/>
      <color rgb="FF55555A"/>
      <color rgb="FF500A78"/>
      <color rgb="FF78A22F"/>
      <color rgb="FFFFB45A"/>
      <color rgb="FF0073CD"/>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TOWER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2"/>
          <c:order val="0"/>
          <c:tx>
            <c:v>Risks Registered</c:v>
          </c:tx>
          <c:spPr>
            <a:solidFill>
              <a:srgbClr val="D62900"/>
            </a:solidFill>
            <a:ln>
              <a:noFill/>
            </a:ln>
            <a:effectLst/>
          </c:spPr>
          <c:invertIfNegative val="0"/>
          <c:val>
            <c:numRef>
              <c:f>'Data Processing'!$I$51:$I$63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FDA0-4205-9D01-404132008D2C}"/>
            </c:ext>
          </c:extLst>
        </c:ser>
        <c:ser>
          <c:idx val="1"/>
          <c:order val="1"/>
          <c:tx>
            <c:v>Risks In Progress</c:v>
          </c:tx>
          <c:spPr>
            <a:solidFill>
              <a:srgbClr val="FBC80D"/>
            </a:solidFill>
            <a:ln>
              <a:noFill/>
            </a:ln>
            <a:effectLst/>
          </c:spPr>
          <c:invertIfNegative val="0"/>
          <c:val>
            <c:numRef>
              <c:f>'Data Processing'!$I$35:$I$47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FDA0-4205-9D01-404132008D2C}"/>
            </c:ext>
          </c:extLst>
        </c:ser>
        <c:ser>
          <c:idx val="0"/>
          <c:order val="2"/>
          <c:tx>
            <c:v>BSR Engagement</c:v>
          </c:tx>
          <c:spPr>
            <a:solidFill>
              <a:schemeClr val="accent1"/>
            </a:solidFill>
            <a:ln>
              <a:noFill/>
            </a:ln>
            <a:effectLst/>
          </c:spPr>
          <c:invertIfNegative val="0"/>
          <c:cat>
            <c:strRef>
              <c:f>'Data Processing'!$H$19:$H$31</c:f>
              <c:strCache>
                <c:ptCount val="13"/>
                <c:pt idx="0">
                  <c:v>PLATFORM - CLOUD</c:v>
                </c:pt>
                <c:pt idx="1">
                  <c:v>PLATFORM - ENDPOINT</c:v>
                </c:pt>
                <c:pt idx="2">
                  <c:v>PLATFORM - SERVER</c:v>
                </c:pt>
                <c:pt idx="3">
                  <c:v>IAM</c:v>
                </c:pt>
                <c:pt idx="4">
                  <c:v>OPERATIONAL TECHNOLOGY</c:v>
                </c:pt>
                <c:pt idx="5">
                  <c:v>NETWORK SECURITY</c:v>
                </c:pt>
                <c:pt idx="6">
                  <c:v>DATA PROTECTION</c:v>
                </c:pt>
                <c:pt idx="7">
                  <c:v>SOAR</c:v>
                </c:pt>
                <c:pt idx="8">
                  <c:v>VULNERABILITY</c:v>
                </c:pt>
                <c:pt idx="9">
                  <c:v>SECURE DEVOPS</c:v>
                </c:pt>
                <c:pt idx="10">
                  <c:v>COMPLIANCE</c:v>
                </c:pt>
                <c:pt idx="11">
                  <c:v>PHYSICAL SECURITY</c:v>
                </c:pt>
                <c:pt idx="12">
                  <c:v>CSIRT</c:v>
                </c:pt>
              </c:strCache>
            </c:strRef>
          </c:cat>
          <c:val>
            <c:numRef>
              <c:f>'Data Processing'!$I$19:$I$31</c:f>
              <c:numCache>
                <c:formatCode>General</c:formatCode>
                <c:ptCount val="13"/>
                <c:pt idx="0">
                  <c:v>1</c:v>
                </c:pt>
                <c:pt idx="1">
                  <c:v>0</c:v>
                </c:pt>
                <c:pt idx="2">
                  <c:v>0</c:v>
                </c:pt>
                <c:pt idx="3">
                  <c:v>3</c:v>
                </c:pt>
                <c:pt idx="4">
                  <c:v>0</c:v>
                </c:pt>
                <c:pt idx="5">
                  <c:v>2</c:v>
                </c:pt>
                <c:pt idx="6">
                  <c:v>3</c:v>
                </c:pt>
                <c:pt idx="7">
                  <c:v>1</c:v>
                </c:pt>
                <c:pt idx="8">
                  <c:v>1</c:v>
                </c:pt>
                <c:pt idx="9">
                  <c:v>0</c:v>
                </c:pt>
                <c:pt idx="10">
                  <c:v>2</c:v>
                </c:pt>
                <c:pt idx="11">
                  <c:v>0</c:v>
                </c:pt>
                <c:pt idx="12">
                  <c:v>1</c:v>
                </c:pt>
              </c:numCache>
            </c:numRef>
          </c:val>
          <c:extLst>
            <c:ext xmlns:c16="http://schemas.microsoft.com/office/drawing/2014/chart" uri="{C3380CC4-5D6E-409C-BE32-E72D297353CC}">
              <c16:uniqueId val="{00000000-538E-4DD1-8012-6347D7791512}"/>
            </c:ext>
          </c:extLst>
        </c:ser>
        <c:dLbls>
          <c:showLegendKey val="0"/>
          <c:showVal val="0"/>
          <c:showCatName val="0"/>
          <c:showSerName val="0"/>
          <c:showPercent val="0"/>
          <c:showBubbleSize val="0"/>
        </c:dLbls>
        <c:gapWidth val="150"/>
        <c:axId val="725585160"/>
        <c:axId val="725585488"/>
      </c:barChart>
      <c:catAx>
        <c:axId val="725585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488"/>
        <c:crosses val="autoZero"/>
        <c:auto val="1"/>
        <c:lblAlgn val="ctr"/>
        <c:lblOffset val="100"/>
        <c:noMultiLvlLbl val="0"/>
      </c:catAx>
      <c:valAx>
        <c:axId val="725585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183774</xdr:colOff>
      <xdr:row>2</xdr:row>
      <xdr:rowOff>64993</xdr:rowOff>
    </xdr:from>
    <xdr:to>
      <xdr:col>8</xdr:col>
      <xdr:colOff>588869</xdr:colOff>
      <xdr:row>4</xdr:row>
      <xdr:rowOff>160243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83774" y="1398493"/>
          <a:ext cx="528189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Please complete all sections in the 'General Information'</a:t>
          </a:r>
          <a:r>
            <a:rPr lang="en-GB" sz="1100" baseline="0"/>
            <a:t> red tab, making sure you select all other tabs as identified in the  business documentation</a:t>
          </a:r>
          <a:endParaRPr lang="en-GB" sz="1100"/>
        </a:p>
      </xdr:txBody>
    </xdr:sp>
    <xdr:clientData/>
  </xdr:twoCellAnchor>
  <xdr:twoCellAnchor>
    <xdr:from>
      <xdr:col>0</xdr:col>
      <xdr:colOff>183773</xdr:colOff>
      <xdr:row>5</xdr:row>
      <xdr:rowOff>26891</xdr:rowOff>
    </xdr:from>
    <xdr:to>
      <xdr:col>8</xdr:col>
      <xdr:colOff>587291</xdr:colOff>
      <xdr:row>10</xdr:row>
      <xdr:rowOff>19050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83773" y="1836641"/>
          <a:ext cx="5280318" cy="8970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Complete each relevant tab and all relevant fields within the tab.</a:t>
          </a:r>
          <a:r>
            <a:rPr lang="en-GB" sz="1100" baseline="0"/>
            <a:t> Please use the drop downs where provided and ensure all Security Services used are identified. Ensure all risks ( rows where there is no Security Service identified ) are identified.  approved by the business </a:t>
          </a:r>
          <a:endParaRPr lang="en-GB" sz="1100"/>
        </a:p>
      </xdr:txBody>
    </xdr:sp>
    <xdr:clientData/>
  </xdr:twoCellAnchor>
  <xdr:twoCellAnchor>
    <xdr:from>
      <xdr:col>0</xdr:col>
      <xdr:colOff>183773</xdr:colOff>
      <xdr:row>10</xdr:row>
      <xdr:rowOff>74517</xdr:rowOff>
    </xdr:from>
    <xdr:to>
      <xdr:col>8</xdr:col>
      <xdr:colOff>587291</xdr:colOff>
      <xdr:row>13</xdr:row>
      <xdr:rowOff>141192</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3773" y="2789142"/>
          <a:ext cx="5280318"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solidFill>
                <a:schemeClr val="dk1"/>
              </a:solidFill>
              <a:effectLst/>
              <a:latin typeface="+mn-lt"/>
              <a:ea typeface="+mn-ea"/>
              <a:cs typeface="+mn-cs"/>
            </a:rPr>
            <a:t>3) If no Security Services is identified , then that become as risk and a Risks Assessment must be   created by the BP&amp;I Architect and sent to the business for review and approval</a:t>
          </a:r>
          <a:endParaRPr lang="en-GB" sz="1100"/>
        </a:p>
      </xdr:txBody>
    </xdr:sp>
    <xdr:clientData/>
  </xdr:twoCellAnchor>
  <xdr:twoCellAnchor>
    <xdr:from>
      <xdr:col>0</xdr:col>
      <xdr:colOff>183773</xdr:colOff>
      <xdr:row>14</xdr:row>
      <xdr:rowOff>0</xdr:rowOff>
    </xdr:from>
    <xdr:to>
      <xdr:col>8</xdr:col>
      <xdr:colOff>587291</xdr:colOff>
      <xdr:row>14</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83773" y="3465417"/>
          <a:ext cx="5280318"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4) Email the completed</a:t>
          </a:r>
          <a:r>
            <a:rPr lang="en-GB" sz="1100" baseline="0"/>
            <a:t> form to the .box.CyberTestTeam@Nationalgrid.com mailbox.  You will be issued with a reference number; this should be used in all communications for the Cyber Test.</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93298" y="4617941"/>
          <a:ext cx="5280318" cy="877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6) Either a vendor or the internal Cyber</a:t>
          </a:r>
          <a:r>
            <a:rPr lang="en-GB" sz="1100" baseline="0"/>
            <a:t> Test Team will complete a Statement of Work/Terms of Reference document and this will be issued alongside  the  requirements for a Cyber Test. This will detail what the requestors needs to ensure is in place for a successful test. </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93298" y="4122642"/>
          <a:ext cx="5280318"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5) The scope will be</a:t>
          </a:r>
          <a:r>
            <a:rPr lang="en-GB" sz="1100" baseline="0"/>
            <a:t> reviewed by the Cyber Test Team. The 'Key Contact' will be contacted for any clarifications. </a:t>
          </a:r>
          <a:endParaRPr lang="en-GB" sz="1100"/>
        </a:p>
      </xdr:txBody>
    </xdr:sp>
    <xdr:clientData/>
  </xdr:twoCellAnchor>
  <xdr:twoCellAnchor>
    <xdr:from>
      <xdr:col>1</xdr:col>
      <xdr:colOff>266700</xdr:colOff>
      <xdr:row>0</xdr:row>
      <xdr:rowOff>114300</xdr:rowOff>
    </xdr:from>
    <xdr:to>
      <xdr:col>7</xdr:col>
      <xdr:colOff>0</xdr:colOff>
      <xdr:row>1</xdr:row>
      <xdr:rowOff>133350</xdr:rowOff>
    </xdr:to>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76300" y="1066800"/>
          <a:ext cx="3390900"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Instructions for Completing this Form</a:t>
          </a:r>
        </a:p>
      </xdr:txBody>
    </xdr:sp>
    <xdr:clientData/>
  </xdr:twoCellAnchor>
  <xdr:twoCellAnchor>
    <xdr:from>
      <xdr:col>10</xdr:col>
      <xdr:colOff>238124</xdr:colOff>
      <xdr:row>0</xdr:row>
      <xdr:rowOff>104775</xdr:rowOff>
    </xdr:from>
    <xdr:to>
      <xdr:col>17</xdr:col>
      <xdr:colOff>19049</xdr:colOff>
      <xdr:row>1</xdr:row>
      <xdr:rowOff>95250</xdr:rowOff>
    </xdr:to>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6334124" y="1057275"/>
          <a:ext cx="4048125"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BSR Process Flow </a:t>
          </a:r>
        </a:p>
      </xdr:txBody>
    </xdr:sp>
    <xdr:clientData/>
  </xdr:twoCellAnchor>
  <xdr:twoCellAnchor>
    <xdr:from>
      <xdr:col>0</xdr:col>
      <xdr:colOff>202823</xdr:colOff>
      <xdr:row>14</xdr:row>
      <xdr:rowOff>0</xdr:rowOff>
    </xdr:from>
    <xdr:to>
      <xdr:col>8</xdr:col>
      <xdr:colOff>606341</xdr:colOff>
      <xdr:row>14</xdr:row>
      <xdr:rowOff>0</xdr:rowOff>
    </xdr:to>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202823" y="5522817"/>
          <a:ext cx="5280318"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7) Once the SoW/ToR</a:t>
          </a:r>
          <a:r>
            <a:rPr lang="en-GB" sz="1100" baseline="0"/>
            <a:t> </a:t>
          </a:r>
          <a:r>
            <a:rPr lang="en-GB" sz="1100"/>
            <a:t>is agreed with the</a:t>
          </a:r>
          <a:r>
            <a:rPr lang="en-GB" sz="1100" baseline="0"/>
            <a:t> requestor, the process will move into the 'Requirements for a Cyber Test- Gate 1' phase. </a:t>
          </a:r>
          <a:endParaRPr lang="en-GB" sz="1100"/>
        </a:p>
      </xdr:txBody>
    </xdr:sp>
    <xdr:clientData/>
  </xdr:twoCellAnchor>
  <xdr:twoCellAnchor>
    <xdr:from>
      <xdr:col>0</xdr:col>
      <xdr:colOff>183773</xdr:colOff>
      <xdr:row>14</xdr:row>
      <xdr:rowOff>74517</xdr:rowOff>
    </xdr:from>
    <xdr:to>
      <xdr:col>8</xdr:col>
      <xdr:colOff>587291</xdr:colOff>
      <xdr:row>17</xdr:row>
      <xdr:rowOff>141192</xdr:rowOff>
    </xdr:to>
    <xdr:sp macro="" textlink="">
      <xdr:nvSpPr>
        <xdr:cNvPr id="33" name="TextBox 32">
          <a:extLst>
            <a:ext uri="{FF2B5EF4-FFF2-40B4-BE49-F238E27FC236}">
              <a16:creationId xmlns:a16="http://schemas.microsoft.com/office/drawing/2014/main" id="{6BD7D371-8DF9-4DD5-8C89-FC8CC268D1FC}"/>
            </a:ext>
          </a:extLst>
        </xdr:cNvPr>
        <xdr:cNvSpPr txBox="1"/>
      </xdr:nvSpPr>
      <xdr:spPr>
        <a:xfrm>
          <a:off x="183773" y="1852517"/>
          <a:ext cx="5534318"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Suggestion</a:t>
          </a:r>
          <a:r>
            <a:rPr lang="en-GB" sz="1100" baseline="0"/>
            <a:t> : Monthly updates of active BSRS be sent to management???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232410</xdr:colOff>
      <xdr:row>6</xdr:row>
      <xdr:rowOff>182880</xdr:rowOff>
    </xdr:from>
    <xdr:to>
      <xdr:col>8</xdr:col>
      <xdr:colOff>182880</xdr:colOff>
      <xdr:row>17</xdr:row>
      <xdr:rowOff>274320</xdr:rowOff>
    </xdr:to>
    <xdr:graphicFrame macro="">
      <xdr:nvGraphicFramePr>
        <xdr:cNvPr id="2" name="Chart 1">
          <a:extLst>
            <a:ext uri="{FF2B5EF4-FFF2-40B4-BE49-F238E27FC236}">
              <a16:creationId xmlns:a16="http://schemas.microsoft.com/office/drawing/2014/main" id="{CFF5E334-9EEF-48F0-AD25-9EE58EFAF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ationalgridplc.sharepoint.com/sites/GRP-INT-US-SecurityBusinessPartneringIntegration/Shared%20Documents/Security%20Requirements%20and%20Standards/BSR%20-%20Current/Baseline%20Security%20Requirements_v2.31%2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hattp\AppData\Local\Microsoft\Windows\INetCache\Content.Outlook\47FPX9SI\Baseline%20Security%20Requirements_v1.5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bles"/>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Processing"/>
      <sheetName val="Variables"/>
      <sheetName val="Instructions"/>
      <sheetName val="General Information"/>
      <sheetName val="End User Devices BSRs (L)"/>
      <sheetName val="Application BSRs (L)"/>
      <sheetName val="Saas - PaaS BSRs (L)"/>
      <sheetName val="Server BSRs (L)"/>
      <sheetName val="Network Security BSRs (L)"/>
      <sheetName val="Server BSRs (M)"/>
      <sheetName val="End User Devices BSRs (M)"/>
      <sheetName val="Application BSRs (M)"/>
      <sheetName val="Saas - PaaS BSRs (M)"/>
      <sheetName val="Network Security BSRs (M)"/>
      <sheetName val="Software Development BSRs (M)"/>
      <sheetName val="Server BSRs (H)"/>
      <sheetName val="End User Devices BSRs (H)"/>
      <sheetName val="Application BSRs (H)"/>
      <sheetName val="Saas - PaaS BSRs (H)"/>
      <sheetName val="Network Security BSRs (H)"/>
      <sheetName val="Software Development BSRs (H)"/>
      <sheetName val="Software Development BSRs (L)"/>
      <sheetName val="Pattern"/>
      <sheetName val="Revi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ersons/person.xml><?xml version="1.0" encoding="utf-8"?>
<personList xmlns="http://schemas.microsoft.com/office/spreadsheetml/2018/threadedcomments" xmlns:x="http://schemas.openxmlformats.org/spreadsheetml/2006/main">
  <person displayName="Kapotsis, James" id="{6486692B-1C33-445C-B96E-9DA49711341D}" userId="S::James.Kapotsis@us.nationalgrid.com::ede097f5-52c3-41a8-9eb4-0ff6991b140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E46C37-5EBD-4600-8225-A9458D4C35BD}" name="Table1" displayName="Table1" ref="A2:I46" totalsRowShown="0" headerRowDxfId="10" headerRowBorderDxfId="9" tableBorderDxfId="8">
  <autoFilter ref="A2:I46" xr:uid="{86510501-C72D-4FFF-9745-A439CC63105A}"/>
  <tableColumns count="9">
    <tableColumn id="1" xr3:uid="{27C5E073-55FC-4235-B082-755EEC0A6029}" name="BSR REF. NO." dataDxfId="7"/>
    <tableColumn id="2" xr3:uid="{34AC1F1B-B170-48B4-9BF1-D1E1772413E6}" name="WHAT TO DO"/>
    <tableColumn id="3" xr3:uid="{B7EF089B-7F6C-4BCC-BD07-940000709C69}" name="End User Devices" dataDxfId="6"/>
    <tableColumn id="4" xr3:uid="{78F4724E-CAF1-4C72-A9AB-724EEAE73837}" name="Servers" dataDxfId="5"/>
    <tableColumn id="5" xr3:uid="{8DC7D1CE-6618-47CC-B3FF-91FB699C468A}" name="Present" dataDxfId="4"/>
    <tableColumn id="6" xr3:uid="{3608EE1E-703F-4066-854B-A13161125F08}" name="Application" dataDxfId="3"/>
    <tableColumn id="7" xr3:uid="{CB810D91-08D1-4716-B79B-0EAB70B38A5D}" name="SaaS/PaaS" dataDxfId="2"/>
    <tableColumn id="8" xr3:uid="{B82D973E-D9A4-4056-BF73-72EF04BE0F02}" name="Networks" dataDxfId="1"/>
    <tableColumn id="9" xr3:uid="{62B4ADCA-AFF1-45C8-99C2-DD6646BC2D9C}" name="Databas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0" dT="2020-04-29T15:23:43.46" personId="{6486692B-1C33-445C-B96E-9DA49711341D}" id="{147FCE25-7D39-40D3-9AD2-8D5649FCC3C5}">
    <text>Total Requirements does not count reequirements that are "Not Applicable"</text>
  </threadedComment>
  <threadedComment ref="B31" dT="2020-08-04T11:38:04.40" personId="{6486692B-1C33-445C-B96E-9DA49711341D}" id="{07791632-2648-4C59-BD52-11491C43D57D}">
    <text>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ext>
  </threadedComment>
</ThreadedComments>
</file>

<file path=xl/threadedComments/threadedComment2.xml><?xml version="1.0" encoding="utf-8"?>
<ThreadedComments xmlns="http://schemas.microsoft.com/office/spreadsheetml/2018/threadedcomments" xmlns:x="http://schemas.openxmlformats.org/spreadsheetml/2006/main">
  <threadedComment ref="F4" dT="2020-05-26T12:35:05.53" personId="{6486692B-1C33-445C-B96E-9DA49711341D}" id="{861315A8-72E1-4F4D-8F24-7B23C8F9BFE3}">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50.40" personId="{6486692B-1C33-445C-B96E-9DA49711341D}" id="{3BAE7611-DA51-4B62-B4DE-353F72339D5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04069271-6F8D-428E-A01C-B847C87E3808}">
    <text>If it's a BSR, leave it as BSR.  If you added an additional requirement based on the project's business requirements, mark it as an additional requirement.</text>
  </threadedComment>
  <threadedComment ref="J4" dT="2020-05-26T18:28:01.00" personId="{6486692B-1C33-445C-B96E-9DA49711341D}" id="{31DEBF7F-2346-4DD2-89F1-02BE3B62E9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3.xml><?xml version="1.0" encoding="utf-8"?>
<ThreadedComments xmlns="http://schemas.microsoft.com/office/spreadsheetml/2018/threadedcomments" xmlns:x="http://schemas.openxmlformats.org/spreadsheetml/2006/main">
  <threadedComment ref="F4" dT="2020-05-26T12:34:47.31" personId="{6486692B-1C33-445C-B96E-9DA49711341D}" id="{7C85C72E-C03D-474B-A915-0D7F980B7D9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41.84" personId="{6486692B-1C33-445C-B96E-9DA49711341D}" id="{566700EC-D6B4-44CB-BB6E-2FA100A07B2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13423D2C-20F9-4D37-9A6A-DB67F3D7EC1E}">
    <text>If it's a BSR, leave it as BSR.  If you added an additional requirement based on the project's business requirements, mark it as an additional requirement.</text>
  </threadedComment>
  <threadedComment ref="J4" dT="2020-05-26T18:28:01.00" personId="{6486692B-1C33-445C-B96E-9DA49711341D}" id="{521DE232-E96E-4C3E-9DB0-5253BFAFF8EE}">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4.xml><?xml version="1.0" encoding="utf-8"?>
<ThreadedComments xmlns="http://schemas.microsoft.com/office/spreadsheetml/2018/threadedcomments" xmlns:x="http://schemas.openxmlformats.org/spreadsheetml/2006/main">
  <threadedComment ref="F4" dT="2020-05-26T12:35:09.85" personId="{6486692B-1C33-445C-B96E-9DA49711341D}" id="{D72A9747-2C1E-47F9-88AD-3DE383EEEA8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55.30" personId="{6486692B-1C33-445C-B96E-9DA49711341D}" id="{205EE161-F2CF-4ED3-8293-EA4397D08BB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AC3E6EC7-C46B-4261-9BC0-099B61083380}">
    <text>If it's a BSR, leave it as BSR.  If you added an additional requirement based on the project's business requirements, mark it as an additional requirement.</text>
  </threadedComment>
  <threadedComment ref="J4" dT="2020-05-26T18:28:01.00" personId="{6486692B-1C33-445C-B96E-9DA49711341D}" id="{36988B51-6F9A-4E7E-90EA-C90B99379B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5.xml><?xml version="1.0" encoding="utf-8"?>
<ThreadedComments xmlns="http://schemas.microsoft.com/office/spreadsheetml/2018/threadedcomments" xmlns:x="http://schemas.openxmlformats.org/spreadsheetml/2006/main">
  <threadedComment ref="E4" dT="2020-05-26T12:35:14.25" personId="{6486692B-1C33-445C-B96E-9DA49711341D}" id="{531298F0-6D0F-4697-A09B-1B85D3C0519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5:04.22" personId="{6486692B-1C33-445C-B96E-9DA49711341D}" id="{53BC26DF-0385-451E-8E93-8ACD6FE0FB6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853AA4A4-D57D-4FE9-A33D-B3FAC3DDE8F7}">
    <text>If it's a BSR, leave it as BSR.  If you added an additional requirement based on the project's business requirements, mark it as an additional requirement.</text>
  </threadedComment>
  <threadedComment ref="I4" dT="2020-05-26T18:28:01.00" personId="{6486692B-1C33-445C-B96E-9DA49711341D}" id="{C7DCB633-CD25-4951-BA69-7915F3FF67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6.xml><?xml version="1.0" encoding="utf-8"?>
<ThreadedComments xmlns="http://schemas.microsoft.com/office/spreadsheetml/2018/threadedcomments" xmlns:x="http://schemas.openxmlformats.org/spreadsheetml/2006/main">
  <threadedComment ref="E4" dT="2020-05-26T12:35:18.78" personId="{6486692B-1C33-445C-B96E-9DA49711341D}" id="{13F901A6-F9C5-4618-8E06-44D75F86115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5:08.86" personId="{6486692B-1C33-445C-B96E-9DA49711341D}" id="{866AC28A-099E-417B-BE9C-930AB37AE0D9}">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DB7E89B4-87D2-4E37-9FA7-6978737424FE}">
    <text>If it's a BSR, leave it as BSR.  If you added an additional requirement based on the project's business requirements, mark it as an additional requirement.</text>
  </threadedComment>
  <threadedComment ref="I4" dT="2020-05-26T18:28:01.00" personId="{6486692B-1C33-445C-B96E-9DA49711341D}" id="{8F7E7538-7D59-48FA-8D7C-DC0D6FA8383A}">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7.xml><?xml version="1.0" encoding="utf-8"?>
<ThreadedComments xmlns="http://schemas.microsoft.com/office/spreadsheetml/2018/threadedcomments" xmlns:x="http://schemas.openxmlformats.org/spreadsheetml/2006/main">
  <threadedComment ref="F4" dT="2020-05-26T12:34:01.40" personId="{6486692B-1C33-445C-B96E-9DA49711341D}" id="{C2C40B92-6537-4FEA-8D65-8E0417E13926}">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40.67" personId="{6486692B-1C33-445C-B96E-9DA49711341D}" id="{7E546E27-482E-45A7-B8EA-0486BBB5834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D031B6D7-A5A6-42DF-9D00-6437C99C2D76}">
    <text>If it's a BSR, leave it as BSR.  If you added an additional requirement based on the project's business requirements, mark it as an additional requirement.</text>
  </threadedComment>
  <threadedComment ref="J4" dT="2020-05-26T18:28:01.00" personId="{6486692B-1C33-445C-B96E-9DA49711341D}" id="{BFBBB290-B9B7-46DF-9393-647BC02BF3E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8.xml><?xml version="1.0" encoding="utf-8"?>
<ThreadedComments xmlns="http://schemas.microsoft.com/office/spreadsheetml/2018/threadedcomments" xmlns:x="http://schemas.openxmlformats.org/spreadsheetml/2006/main">
  <threadedComment ref="F4" dT="2020-05-26T12:33:56.09" personId="{6486692B-1C33-445C-B96E-9DA49711341D}" id="{F9171562-C50C-4755-881D-6BAF0D071BD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36.67" personId="{6486692B-1C33-445C-B96E-9DA49711341D}" id="{4C60EDF1-5005-4109-996D-89E174D1FEF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9CC10ABA-B327-4DAB-920C-F72A189DE988}">
    <text>If it's a BSR, leave it as BSR.  If you added an additional requirement based on the project's business requirements, mark it as an additional requirement.</text>
  </threadedComment>
  <threadedComment ref="J4" dT="2020-05-26T18:28:01.00" personId="{6486692B-1C33-445C-B96E-9DA49711341D}" id="{0562A533-E0B7-41C7-ADC4-A8E1B70F025F}">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9.xml><?xml version="1.0" encoding="utf-8"?>
<ThreadedComments xmlns="http://schemas.microsoft.com/office/spreadsheetml/2018/threadedcomments" xmlns:x="http://schemas.openxmlformats.org/spreadsheetml/2006/main">
  <threadedComment ref="F4" dT="2020-05-26T12:34:35.05" personId="{6486692B-1C33-445C-B96E-9DA49711341D}" id="{E851054A-2791-429B-876C-8B505399D61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47.52" personId="{6486692B-1C33-445C-B96E-9DA49711341D}" id="{9FCF6741-6D97-4AA2-A9F2-BB954973FED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095B2EDA-7D54-423B-8470-BC534FECC971}">
    <text>If it's a BSR, leave it as BSR.  If you added an additional requirement based on the project's business requirements, mark it as an additional requirement.</text>
  </threadedComment>
  <threadedComment ref="J4" dT="2020-05-26T18:28:01.00" personId="{6486692B-1C33-445C-B96E-9DA49711341D}" id="{CF6D553D-175E-4568-A4DA-B064C6B3D5B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0.xml><?xml version="1.0" encoding="utf-8"?>
<ThreadedComments xmlns="http://schemas.microsoft.com/office/spreadsheetml/2018/threadedcomments" xmlns:x="http://schemas.openxmlformats.org/spreadsheetml/2006/main">
  <threadedComment ref="E4" dT="2020-05-26T12:34:05.90" personId="{6486692B-1C33-445C-B96E-9DA49711341D}" id="{7FECF468-F026-4420-A0D6-D61A9D921C8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1:52.22" personId="{6486692B-1C33-445C-B96E-9DA49711341D}" id="{4CF0CFC6-4867-42AC-A2C9-C9FD14D58043}">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7769E160-7A20-47AA-81F1-819F39CBE5F4}">
    <text>If it's a BSR, leave it as BSR.  If you added an additional requirement based on the project's business requirements, mark it as an additional requirement.</text>
  </threadedComment>
  <threadedComment ref="I4" dT="2020-05-26T18:28:01.00" personId="{6486692B-1C33-445C-B96E-9DA49711341D}" id="{A0C27C28-CCF6-4B80-A7D0-D17F41516899}">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1.xml><?xml version="1.0" encoding="utf-8"?>
<ThreadedComments xmlns="http://schemas.microsoft.com/office/spreadsheetml/2018/threadedcomments" xmlns:x="http://schemas.openxmlformats.org/spreadsheetml/2006/main">
  <threadedComment ref="E4" dT="2020-05-26T12:34:10.09" personId="{6486692B-1C33-445C-B96E-9DA49711341D}" id="{7C4F9AC2-C787-4744-B5BA-4E23B204AA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1:56.56" personId="{6486692B-1C33-445C-B96E-9DA49711341D}" id="{A6511A12-8DFD-41AB-993B-13A19DA90FE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F8FB6095-E4D1-4BA1-8B1C-21E266361C71}">
    <text>If it's a BSR, leave it as BSR.  If you added an additional requirement based on the project's business requirements, mark it as an additional requirement.</text>
  </threadedComment>
  <threadedComment ref="I4" dT="2020-05-26T18:28:01.00" personId="{6486692B-1C33-445C-B96E-9DA49711341D}" id="{4DB4DD20-3044-4C07-8D96-4A2513839BB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2.xml><?xml version="1.0" encoding="utf-8"?>
<ThreadedComments xmlns="http://schemas.microsoft.com/office/spreadsheetml/2018/threadedcomments" xmlns:x="http://schemas.openxmlformats.org/spreadsheetml/2006/main">
  <threadedComment ref="F4" dT="2020-05-26T12:34:15.47" personId="{6486692B-1C33-445C-B96E-9DA49711341D}" id="{4BE718F3-6424-437F-BC55-3B39D5868B0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2:01.01" personId="{6486692B-1C33-445C-B96E-9DA49711341D}" id="{0C939336-EB85-479C-9834-ADE5F85CC74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CD49529E-0444-46EF-8AA5-5F69453163B0}">
    <text>If it's a BSR, leave it as BSR.  If you added an additional requirement based on the project's business requirements, mark it as an additional requirement.</text>
  </threadedComment>
  <threadedComment ref="J4" dT="2020-05-26T18:28:01.00" personId="{6486692B-1C33-445C-B96E-9DA49711341D}" id="{7D7F8F4E-DE39-45D9-9FB8-205A04FF3BE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3.xml><?xml version="1.0" encoding="utf-8"?>
<ThreadedComments xmlns="http://schemas.microsoft.com/office/spreadsheetml/2018/threadedcomments" xmlns:x="http://schemas.openxmlformats.org/spreadsheetml/2006/main">
  <threadedComment ref="F4" dT="2020-05-26T12:32:27.33" personId="{6486692B-1C33-445C-B96E-9DA49711341D}" id="{C6D87969-95B6-4B07-B36B-034D222F455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0:47.83" personId="{6486692B-1C33-445C-B96E-9DA49711341D}" id="{3BC61200-2475-4BBF-8646-75183FF9B9A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61E0C389-297B-44CF-8D39-9AFD62E072CD}">
    <text>If it's a BSR, leave it as BSR.  If you added an additional requirement based on the project's business requirements, mark it as an additional requirement.</text>
  </threadedComment>
  <threadedComment ref="J4" dT="2020-05-26T18:28:01.00" personId="{6486692B-1C33-445C-B96E-9DA49711341D}" id="{62B9CAF2-4839-499A-A461-CC6B785FA102}">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4.xml><?xml version="1.0" encoding="utf-8"?>
<ThreadedComments xmlns="http://schemas.microsoft.com/office/spreadsheetml/2018/threadedcomments" xmlns:x="http://schemas.openxmlformats.org/spreadsheetml/2006/main">
  <threadedComment ref="F4" dT="2020-05-26T12:33:17.46" personId="{6486692B-1C33-445C-B96E-9DA49711341D}" id="{93B0142D-055A-4AF3-89F5-485AFE29AA7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09.66" personId="{6486692B-1C33-445C-B96E-9DA49711341D}" id="{4839D07F-FE30-4B94-AE05-4681E523D18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E048581B-F7A0-4259-B25B-D746B8F483D4}">
    <text>If it's a BSR, leave it as BSR.  If you added an additional requirement based on the project's business requirements, mark it as an additional requirement.</text>
  </threadedComment>
  <threadedComment ref="J4" dT="2020-05-26T18:28:01.00" personId="{6486692B-1C33-445C-B96E-9DA49711341D}" id="{765F4FBE-97F6-4FC7-A1A3-01B572070C03}">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5.xml><?xml version="1.0" encoding="utf-8"?>
<ThreadedComments xmlns="http://schemas.microsoft.com/office/spreadsheetml/2018/threadedcomments" xmlns:x="http://schemas.openxmlformats.org/spreadsheetml/2006/main">
  <threadedComment ref="F4" dT="2020-05-26T12:33:24.06" personId="{6486692B-1C33-445C-B96E-9DA49711341D}" id="{90CAB96F-FB7F-466C-B86E-0C0D3D1CC36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13.76" personId="{6486692B-1C33-445C-B96E-9DA49711341D}" id="{71040D56-A2B7-494D-AD00-69F0B0C64EDD}">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665BC428-4E9B-428A-9297-3E8B2AA9DD42}">
    <text>If it's a BSR, leave it as BSR.  If you added an additional requirement based on the project's business requirements, mark it as an additional requirement.</text>
  </threadedComment>
  <threadedComment ref="J4" dT="2020-05-26T18:28:01.00" personId="{6486692B-1C33-445C-B96E-9DA49711341D}" id="{703668A2-3CB1-477D-BC80-B6881F509066}">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6.xml><?xml version="1.0" encoding="utf-8"?>
<ThreadedComments xmlns="http://schemas.microsoft.com/office/spreadsheetml/2018/threadedcomments" xmlns:x="http://schemas.openxmlformats.org/spreadsheetml/2006/main">
  <threadedComment ref="E4" dT="2020-05-26T12:33:28.32" personId="{6486692B-1C33-445C-B96E-9DA49711341D}" id="{89D71702-23BF-44BD-8FE4-49E6DA5632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2:54:22.20" personId="{6486692B-1C33-445C-B96E-9DA49711341D}" id="{646540F7-1501-4C1B-8804-1069B02F65A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4949265C-A56B-4027-BB07-9216A9C1D10F}">
    <text>If it's a BSR, leave it as BSR.  If you added an additional requirement based on the project's business requirements, mark it as an additional requirement.</text>
  </threadedComment>
  <threadedComment ref="I4" dT="2020-05-26T18:28:01.00" personId="{6486692B-1C33-445C-B96E-9DA49711341D}" id="{1B8C4173-525F-493D-8CDA-FEBD8CDDFA7B}">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7.xml><?xml version="1.0" encoding="utf-8"?>
<ThreadedComments xmlns="http://schemas.microsoft.com/office/spreadsheetml/2018/threadedcomments" xmlns:x="http://schemas.openxmlformats.org/spreadsheetml/2006/main">
  <threadedComment ref="E4" dT="2020-05-26T12:33:32.55" personId="{6486692B-1C33-445C-B96E-9DA49711341D}" id="{3869A931-E600-4A5D-8906-6D709E5D39F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2:54:27.86" personId="{6486692B-1C33-445C-B96E-9DA49711341D}" id="{E991C403-AE83-4265-9EC8-697ACCF29F1E}">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5F0251BB-26E1-47A1-8A86-83E4C8465D54}">
    <text>If it's a BSR, leave it as BSR.  If you added an additional requirement based on the project's business requirements, mark it as an additional requirement.</text>
  </threadedComment>
  <threadedComment ref="I4" dT="2020-05-26T18:28:01.00" personId="{6486692B-1C33-445C-B96E-9DA49711341D}" id="{ED96ACC4-0CC8-4180-BF21-0FBF1C21FA8C}">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8.xml><?xml version="1.0" encoding="utf-8"?>
<ThreadedComments xmlns="http://schemas.microsoft.com/office/spreadsheetml/2018/threadedcomments" xmlns:x="http://schemas.openxmlformats.org/spreadsheetml/2006/main">
  <threadedComment ref="F4" dT="2020-05-26T12:35:23.22" personId="{6486692B-1C33-445C-B96E-9DA49711341D}" id="{02100FB6-9913-43A7-BBB0-1B43D8162A3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5:18.13" personId="{6486692B-1C33-445C-B96E-9DA49711341D}" id="{276CBA5C-3C1C-4577-BCB2-FD9CE8FD0910}">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9F4DF3B1-AC4B-43CA-B397-33D52F93A8D6}">
    <text>If it's a BSR, leave it as BSR.  If you added an additional requirement based on the project's business requirements, mark it as an additional requirement.</text>
  </threadedComment>
  <threadedComment ref="J4" dT="2020-05-26T18:28:01.00" personId="{6486692B-1C33-445C-B96E-9DA49711341D}" id="{83FDEA93-60E9-40DF-964A-530AFFF7DBC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9.xml><?xml version="1.0" encoding="utf-8"?>
<ThreadedComments xmlns="http://schemas.microsoft.com/office/spreadsheetml/2018/threadedcomments" xmlns:x="http://schemas.openxmlformats.org/spreadsheetml/2006/main">
  <threadedComment ref="F4" dT="2020-05-26T12:33:38.11" personId="{6486692B-1C33-445C-B96E-9DA49711341D}" id="{44D76C41-58CB-448C-A1C7-B908552E24E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FD16E840-9E24-4B01-9C37-4019E98BE9A4}">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01B082A6-263D-44C1-94C5-C959DFB66E3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0.xml><?xml version="1.0" encoding="utf-8"?>
<ThreadedComments xmlns="http://schemas.microsoft.com/office/spreadsheetml/2018/threadedcomments" xmlns:x="http://schemas.openxmlformats.org/spreadsheetml/2006/main">
  <threadedComment ref="F4" dT="2020-05-26T12:33:38.11" personId="{6486692B-1C33-445C-B96E-9DA49711341D}" id="{D2881130-5567-40DB-A276-3AB031058CC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B260905F-8F2F-4D07-B0B1-FC8BEA5844A5}">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FC99D6E8-C702-496F-8840-2787DA5595D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1.xml><?xml version="1.0" encoding="utf-8"?>
<ThreadedComments xmlns="http://schemas.microsoft.com/office/spreadsheetml/2018/threadedcomments" xmlns:x="http://schemas.openxmlformats.org/spreadsheetml/2006/main">
  <threadedComment ref="F4" dT="2020-05-26T12:33:38.11" personId="{6486692B-1C33-445C-B96E-9DA49711341D}" id="{692A04E2-0B41-430F-A9FC-27CDECC43EA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DF13AEDD-F47F-4BA1-9A04-AA17634E546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64DC4975-E470-4CBC-B7CD-D2855979578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2.xml><?xml version="1.0" encoding="utf-8"?>
<ThreadedComments xmlns="http://schemas.microsoft.com/office/spreadsheetml/2018/threadedcomments" xmlns:x="http://schemas.openxmlformats.org/spreadsheetml/2006/main">
  <threadedComment ref="F4" dT="2020-05-26T12:33:38.11" personId="{6486692B-1C33-445C-B96E-9DA49711341D}" id="{F56B6744-73C8-4706-A1E4-18C0B69C755B}">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EBF522A0-0A85-4C9A-8F79-9A5248DE4E9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E4A3B0A5-5A26-4745-AB32-B584E6BB38C4}">
    <text>If it's a BSR, leave it as BSR.  If you added an additional requirement based on the project's business requirements, mark it as an additional requirement.</text>
  </threadedComment>
  <threadedComment ref="J4" dT="2020-05-26T18:28:01.00" personId="{6486692B-1C33-445C-B96E-9DA49711341D}" id="{C131D02F-032A-4F00-A496-814E9F331D47}">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17/10/relationships/threadedComment" Target="../threadedComments/threadedComment1.xml"/><Relationship Id="rId2" Type="http://schemas.openxmlformats.org/officeDocument/2006/relationships/hyperlink" Target="https://nationalgridplc.sharepoint.com/:f:/r/sites/GRP-INT-US-SecurityBusinessPartneringIntegration/Shared%20Documents/Projects/2021/US/US%20IT/INVP%205917E%20MDM%20Platform?csf=1&amp;web=1&amp;e=dFarJw" TargetMode="External"/><Relationship Id="rId1" Type="http://schemas.openxmlformats.org/officeDocument/2006/relationships/hyperlink" Target="https://nationalgridplc-my.sharepoint.com/personal/GRP-COMMS-Global-Architecture/SitePages/Reporting.aspx?source=https%3A%2F%2Fnationalgridplc.sharepoint.com%2Fsites%2FGRP-COMMS-Global-Architecture%2FSitePages%2FForms%2FByAuthor.aspx"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2.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2.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2.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3.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3.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3.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4.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4.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4.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5.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6.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5.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5.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6.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6.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6.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7.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7.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7.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7.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8.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8.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8.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9.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9.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9.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10.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11.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10.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10.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11.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11.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11.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12.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3.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12.xml"/><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13.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13.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13.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14.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14.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14.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15.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15.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15.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18.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19.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16.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16.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17.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17.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17.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20.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21.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18.xml"/><Relationship Id="rId4"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19.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personal/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19.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20.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20.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21.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2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3.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22.xml"/><Relationship Id="rId4" Type="http://schemas.openxmlformats.org/officeDocument/2006/relationships/comments" Target="../comments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K4"/>
  <sheetViews>
    <sheetView showGridLines="0" topLeftCell="A10" zoomScaleNormal="100" workbookViewId="0">
      <selection activeCell="D29" sqref="D29"/>
    </sheetView>
  </sheetViews>
  <sheetFormatPr defaultColWidth="9.140625" defaultRowHeight="14.25" x14ac:dyDescent="0.2"/>
  <cols>
    <col min="1" max="16384" width="9.140625" style="7"/>
  </cols>
  <sheetData>
    <row r="4" spans="11:11" x14ac:dyDescent="0.2">
      <c r="K4" s="7" t="s">
        <v>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A4616"/>
  </sheetPr>
  <dimension ref="A1:K58"/>
  <sheetViews>
    <sheetView showGridLines="0" topLeftCell="A46" zoomScaleNormal="100" workbookViewId="0">
      <selection activeCell="F56" sqref="F56"/>
    </sheetView>
  </sheetViews>
  <sheetFormatPr defaultColWidth="9.140625" defaultRowHeight="15.75" customHeight="1" x14ac:dyDescent="0.2"/>
  <cols>
    <col min="1" max="1" width="29.42578125" style="10" customWidth="1"/>
    <col min="2" max="2" width="43.5703125" style="11" customWidth="1"/>
    <col min="3" max="3" width="29.140625" style="10" customWidth="1"/>
    <col min="4" max="4" width="9.140625" style="10"/>
    <col min="5" max="5" width="14" style="10" customWidth="1"/>
    <col min="6" max="6" width="11" style="10" customWidth="1"/>
    <col min="7" max="7" width="23.42578125" style="10" customWidth="1"/>
    <col min="8" max="8" width="9.85546875" style="10" customWidth="1"/>
    <col min="9" max="9" width="12.42578125" style="10" customWidth="1"/>
    <col min="10" max="10" width="8.42578125" style="10" customWidth="1"/>
    <col min="11" max="16384" width="9.140625" style="10"/>
  </cols>
  <sheetData>
    <row r="1" spans="1:11" ht="37.5" customHeight="1" x14ac:dyDescent="0.2">
      <c r="B1" s="208" t="s">
        <v>1</v>
      </c>
      <c r="C1" s="208"/>
      <c r="D1" s="208"/>
      <c r="E1" s="208"/>
      <c r="F1" s="208"/>
      <c r="G1" s="208"/>
      <c r="H1" s="208"/>
    </row>
    <row r="2" spans="1:11" ht="15.75" customHeight="1" thickBot="1" x14ac:dyDescent="0.25"/>
    <row r="3" spans="1:11" ht="15.75" customHeight="1" thickTop="1" x14ac:dyDescent="0.2">
      <c r="A3" s="209" t="s">
        <v>2</v>
      </c>
      <c r="B3" s="212" t="s">
        <v>3</v>
      </c>
      <c r="C3" s="213"/>
      <c r="D3" s="213"/>
      <c r="E3" s="213"/>
      <c r="F3" s="213"/>
    </row>
    <row r="4" spans="1:11" ht="15.75" customHeight="1" x14ac:dyDescent="0.2">
      <c r="A4" s="210"/>
      <c r="B4" s="109" t="s">
        <v>4</v>
      </c>
      <c r="C4" s="112" t="s">
        <v>5</v>
      </c>
      <c r="D4" s="214" t="s">
        <v>6</v>
      </c>
      <c r="E4" s="215"/>
      <c r="F4" s="215"/>
      <c r="H4" s="191"/>
      <c r="I4" s="192"/>
      <c r="J4" s="192"/>
      <c r="K4" s="192"/>
    </row>
    <row r="5" spans="1:11" ht="53.1" customHeight="1" x14ac:dyDescent="0.2">
      <c r="A5" s="211"/>
      <c r="B5" s="111" t="s">
        <v>7</v>
      </c>
      <c r="C5" s="107" t="s">
        <v>8</v>
      </c>
      <c r="D5" s="216" t="s">
        <v>9</v>
      </c>
      <c r="E5" s="217" t="s">
        <v>10</v>
      </c>
      <c r="F5" s="217" t="s">
        <v>10</v>
      </c>
      <c r="H5" s="192"/>
      <c r="I5" s="192"/>
      <c r="J5" s="192"/>
      <c r="K5" s="192"/>
    </row>
    <row r="6" spans="1:11" ht="15.75" customHeight="1" thickTop="1" x14ac:dyDescent="0.2">
      <c r="H6" s="192"/>
      <c r="I6" s="192"/>
      <c r="J6" s="192"/>
      <c r="K6" s="192"/>
    </row>
    <row r="7" spans="1:11" ht="15.75" customHeight="1" thickBot="1" x14ac:dyDescent="0.25">
      <c r="H7" s="192"/>
      <c r="I7" s="192"/>
      <c r="J7" s="192"/>
      <c r="K7" s="192"/>
    </row>
    <row r="8" spans="1:11" ht="25.35" customHeight="1" thickTop="1" x14ac:dyDescent="0.2">
      <c r="A8" s="209" t="s">
        <v>11</v>
      </c>
      <c r="B8" s="48" t="s">
        <v>12</v>
      </c>
      <c r="C8" s="69" t="str">
        <f>IF(OR(B5='Data Processing'!P4,C5='Data Processing'!Q4,D5='Data Processing'!R4),"HIGH",IF(OR(B5='Data Processing'!P3,C5='Data Processing'!Q3,D5='Data Processing'!R3),"MEDIUM","LOW"))</f>
        <v>HIGH</v>
      </c>
      <c r="H8" s="192"/>
      <c r="I8" s="192"/>
      <c r="J8" s="192"/>
      <c r="K8" s="192"/>
    </row>
    <row r="9" spans="1:11" ht="25.35" customHeight="1" x14ac:dyDescent="0.2">
      <c r="A9" s="210"/>
      <c r="B9" s="48" t="s">
        <v>13</v>
      </c>
      <c r="C9" s="41">
        <f>COUNTIFS(ServerTab:AutonomousTab,"Yes")</f>
        <v>2</v>
      </c>
      <c r="H9" s="192"/>
      <c r="I9" s="192"/>
      <c r="J9" s="192"/>
      <c r="K9" s="192"/>
    </row>
    <row r="10" spans="1:11" ht="25.35" customHeight="1" thickBot="1" x14ac:dyDescent="0.25">
      <c r="A10" s="211"/>
      <c r="B10" s="48" t="s">
        <v>14</v>
      </c>
      <c r="C10" s="41">
        <f>SUM(CompletedRequirements+RequirementsNotStarted+RequirementsInProgress)</f>
        <v>14</v>
      </c>
      <c r="H10" s="192"/>
      <c r="I10" s="192"/>
      <c r="J10" s="192"/>
      <c r="K10" s="192"/>
    </row>
    <row r="11" spans="1:11" ht="25.35" customHeight="1" thickTop="1" x14ac:dyDescent="0.25">
      <c r="B11" s="48" t="s">
        <v>15</v>
      </c>
      <c r="C11" s="41">
        <f>SUM(IF(ServerTab="Yes",[0]!ServerTotalH1,0),IF(EndUserTab="Yes",[0]!EndUserTotalH1,0),IF(ApplicationTab="Yes",[0]!ApplicationTotalH1,0),IF(SaaSTab="Yes",[0]!SaaSTotalH1,0),IF(NetworkTab="Yes",[0]!NetworkTotalH1,0),IF(SoftwareTab="Yes",[0]!SoftwareTotalH1,0),IF(AutonomousTab="Yes",[0]!AutonomousTotalH1,0))</f>
        <v>1</v>
      </c>
      <c r="H11" s="172"/>
      <c r="I11" s="172"/>
      <c r="J11" s="172"/>
      <c r="K11" s="172"/>
    </row>
    <row r="12" spans="1:11" ht="25.35" customHeight="1" x14ac:dyDescent="0.25">
      <c r="B12" s="48" t="s">
        <v>16</v>
      </c>
      <c r="C12" s="41">
        <f>SUM(IF(ServerTab="Yes",[0]!ServerTotalH2,0),IF(EndUserTab="Yes",[0]!EndUserTotalH2,0),IF(ApplicationTab="Yes",[0]!ApplicationTotalH2,0),IF(SaaSTab="Yes",[0]!SaaSTotalH2,0),IF(NetworkTab="Yes",[0]!NetworkTotalH2,0),IF(SoftwareTab="Yes",[0]!SoftwareTotalH2,0),IF(AutonomousTab="Yes",[0]!AutonomousTotalH2,0))</f>
        <v>10</v>
      </c>
      <c r="H12" s="172"/>
      <c r="I12" s="172"/>
      <c r="J12" s="172"/>
      <c r="K12" s="172"/>
    </row>
    <row r="13" spans="1:11" ht="25.35" customHeight="1" x14ac:dyDescent="0.25">
      <c r="B13" s="48" t="s">
        <v>17</v>
      </c>
      <c r="C13" s="41">
        <f>SUM(IF(ServerTab="Yes",[0]!ServerTotalH3,0),IF(EndUserTab="Yes",[0]!EndUserTotalH3,0),IF(ApplicationTab="Yes",[0]!ApplicationTotalH3,0),IF(SaaSTab="Yes",[0]!SaaSTotalH3,0),IF(NetworkTab="Yes",[0]!NetworkTotalH3,0),IF(SoftwareTab="Yes",[0]!SoftwareTotalH3,0),IF(AutonomousTab="Yes",[0]!AutonomousTotalH3,0))</f>
        <v>15</v>
      </c>
      <c r="H13" s="172"/>
      <c r="I13" s="172"/>
      <c r="J13" s="172"/>
      <c r="K13" s="172"/>
    </row>
    <row r="14" spans="1:11" ht="25.35" customHeight="1" x14ac:dyDescent="0.25">
      <c r="B14" s="48" t="s">
        <v>18</v>
      </c>
      <c r="C14" s="41">
        <f>SUM(IF(ServerTab="Yes",[0]!ServerTotalH4,0),IF(EndUserTab="Yes",[0]!EndUserTotalH4,0),IF(ApplicationTab="Yes",[0]!ApplicationTotalH4,0),IF(SaaSTab="Yes",[0]!SaaSTotalH4,0),IF(NetworkTab="Yes",[0]!NetworkTotalH4,0),IF(SoftwareTab="Yes",[0]!SoftwareTotalH4,0),IF(AutonomousTab="Yes",[0]!AutonomousTotalH4,0))</f>
        <v>3</v>
      </c>
      <c r="H14" s="172"/>
      <c r="I14" s="172"/>
      <c r="J14" s="172"/>
      <c r="K14" s="172"/>
    </row>
    <row r="15" spans="1:11" ht="25.35" customHeight="1" x14ac:dyDescent="0.25">
      <c r="B15" s="48" t="s">
        <v>19</v>
      </c>
      <c r="C15" s="41">
        <f>SUM(IF(ServerTab="Yes",[0]!ServerTotalH6,0),IF(EndUserTab="Yes",[0]!EndUserTotalH6,0),IF(ApplicationTab="Yes",[0]!ApplicationTotalH6,0),IF(SaaSTab="Yes",[0]!SaaSTotalH6,0),IF(NetworkTab="Yes",[0]!NetworkTotalH6,0),IF(SoftwareTab="Yes",[0]!SoftwareTotalH6,0),IF(AutonomousTab="Yes",[0]!AutonomousTotalH6,0))</f>
        <v>0</v>
      </c>
      <c r="H15" s="172"/>
      <c r="I15" s="172"/>
      <c r="J15" s="172"/>
      <c r="K15" s="172"/>
    </row>
    <row r="16" spans="1:11" ht="25.35" customHeight="1" x14ac:dyDescent="0.25">
      <c r="B16" s="48" t="s">
        <v>20</v>
      </c>
      <c r="C16" s="41">
        <f>SUM(IF(ServerTab="Yes",[0]!ServerTotalH7,0),IF(EndUserTab="Yes",[0]!EndUserTotalH7,0),IF(ApplicationTab="Yes",[0]!ApplicationTotalH7,0),IF(SaaSTab="Yes",[0]!SaaSTotalH7,0),IF(NetworkTab="Yes",[0]!NetworkTotalH7,0),IF(SoftwareTab="Yes",[0]!SoftwareTotalH7,0),IF(AutonomousTab="Yes",[0]!AutonomousTotalH7,0))</f>
        <v>25</v>
      </c>
      <c r="H16" s="172"/>
      <c r="I16" s="172"/>
      <c r="J16" s="172"/>
      <c r="K16" s="172"/>
    </row>
    <row r="17" spans="1:11" ht="25.35" customHeight="1" x14ac:dyDescent="0.25">
      <c r="B17" s="48" t="s">
        <v>21</v>
      </c>
      <c r="C17" s="41">
        <f>SUM(IF(ServerTab="Yes",[0]!ServerTotalH8,0),IF(EndUserTab="Yes",[0]!EndUserTotalH8,0),IF(ApplicationTab="Yes",[0]!ApplicationTotalH8,0),IF(SaaSTab="Yes",[0]!SaaSTotalH8,0),IF(NetworkTab="Yes",[0]!NetworkTotalH8,0),IF(SoftwareTab="Yes",[0]!SoftwareTotalH8,0),IF(AutonomousTab="Yes",[0]!AutonomousTotalH8,0))</f>
        <v>0</v>
      </c>
      <c r="H17" s="172"/>
      <c r="I17" s="172"/>
      <c r="J17" s="172"/>
      <c r="K17" s="172"/>
    </row>
    <row r="18" spans="1:11" ht="25.35" customHeight="1" x14ac:dyDescent="0.25">
      <c r="B18" s="48" t="s">
        <v>22</v>
      </c>
      <c r="C18" s="41">
        <f>SUM(IF(ServerTab="Yes",[0]!ServerTotalH9,0),IF(EndUserTab="Yes",[0]!EndUserTotalH9,0),IF(ApplicationTab="Yes",[0]!ApplicationTotalH9,0),IF(SaaSTab="Yes",[0]!SaaSTotalH9,0),IF(NetworkTab="Yes",[0]!NetworkTotalH9,0),IF(SoftwareTab="Yes",[0]!SoftwareTotalH9,0),IF(AutonomousTab="Yes",[0]!AutonomousTotalH9,0))</f>
        <v>0</v>
      </c>
      <c r="H18" s="172"/>
      <c r="I18" s="172"/>
      <c r="J18" s="172"/>
      <c r="K18" s="172"/>
    </row>
    <row r="19" spans="1:11" ht="33.6" customHeight="1" x14ac:dyDescent="0.2">
      <c r="B19" s="10"/>
    </row>
    <row r="20" spans="1:11" ht="39" customHeight="1" x14ac:dyDescent="0.2">
      <c r="A20" s="17"/>
    </row>
    <row r="21" spans="1:11" ht="15.75" customHeight="1" thickBot="1" x14ac:dyDescent="0.25"/>
    <row r="22" spans="1:11" ht="15.75" customHeight="1" thickTop="1" x14ac:dyDescent="0.2">
      <c r="A22" s="209" t="s">
        <v>23</v>
      </c>
      <c r="B22" s="110" t="s">
        <v>24</v>
      </c>
      <c r="C22" s="178" t="s">
        <v>298</v>
      </c>
      <c r="D22" s="178"/>
      <c r="E22" s="178"/>
      <c r="F22" s="178"/>
    </row>
    <row r="23" spans="1:11" ht="15.75" customHeight="1" x14ac:dyDescent="0.2">
      <c r="A23" s="210"/>
      <c r="B23" s="110" t="s">
        <v>25</v>
      </c>
      <c r="C23" s="198" t="s">
        <v>551</v>
      </c>
      <c r="D23" s="198"/>
      <c r="E23" s="198"/>
      <c r="F23" s="199"/>
      <c r="G23" s="12"/>
    </row>
    <row r="24" spans="1:11" ht="15.75" customHeight="1" x14ac:dyDescent="0.2">
      <c r="A24" s="210"/>
      <c r="B24" s="110" t="s">
        <v>26</v>
      </c>
      <c r="C24" s="202" t="s">
        <v>552</v>
      </c>
      <c r="D24" s="219"/>
      <c r="E24" s="219"/>
      <c r="F24" s="220"/>
      <c r="G24" s="12"/>
    </row>
    <row r="25" spans="1:11" ht="15.75" customHeight="1" x14ac:dyDescent="0.2">
      <c r="A25" s="210"/>
      <c r="B25" s="110" t="s">
        <v>27</v>
      </c>
      <c r="C25" s="200">
        <v>44256</v>
      </c>
      <c r="D25" s="201"/>
      <c r="E25" s="201"/>
      <c r="F25" s="179"/>
      <c r="G25" s="12"/>
    </row>
    <row r="26" spans="1:11" ht="15.75" customHeight="1" x14ac:dyDescent="0.2">
      <c r="A26" s="210"/>
      <c r="B26" s="110" t="s">
        <v>28</v>
      </c>
      <c r="C26" s="201" t="s">
        <v>556</v>
      </c>
      <c r="D26" s="201"/>
      <c r="E26" s="201"/>
      <c r="F26" s="179"/>
      <c r="G26" s="12"/>
    </row>
    <row r="27" spans="1:11" ht="15.75" customHeight="1" x14ac:dyDescent="0.2">
      <c r="A27" s="210"/>
      <c r="B27" s="110" t="s">
        <v>29</v>
      </c>
      <c r="C27" s="201" t="s">
        <v>554</v>
      </c>
      <c r="D27" s="201"/>
      <c r="E27" s="201"/>
      <c r="F27" s="179"/>
      <c r="G27" s="13"/>
    </row>
    <row r="28" spans="1:11" ht="23.45" customHeight="1" thickBot="1" x14ac:dyDescent="0.25">
      <c r="A28" s="211"/>
      <c r="B28" s="110" t="s">
        <v>30</v>
      </c>
      <c r="C28" s="201" t="s">
        <v>553</v>
      </c>
      <c r="D28" s="201"/>
      <c r="E28" s="201"/>
      <c r="F28" s="179"/>
      <c r="G28" s="13"/>
    </row>
    <row r="29" spans="1:11" ht="34.35" customHeight="1" thickTop="1" x14ac:dyDescent="0.2">
      <c r="A29" s="16"/>
      <c r="B29" s="171" t="s">
        <v>31</v>
      </c>
      <c r="C29" s="202" t="s">
        <v>298</v>
      </c>
      <c r="D29" s="201"/>
      <c r="E29" s="201"/>
      <c r="F29" s="179"/>
      <c r="G29" s="13"/>
    </row>
    <row r="30" spans="1:11" ht="19.350000000000001" customHeight="1" x14ac:dyDescent="0.2">
      <c r="A30" s="16"/>
      <c r="B30" s="32" t="s">
        <v>32</v>
      </c>
      <c r="C30" s="202" t="s">
        <v>555</v>
      </c>
      <c r="D30" s="201"/>
      <c r="E30" s="201"/>
      <c r="F30" s="179"/>
      <c r="G30" s="13"/>
    </row>
    <row r="31" spans="1:11" ht="19.350000000000001" customHeight="1" x14ac:dyDescent="0.2">
      <c r="A31" s="16"/>
      <c r="B31" s="126" t="s">
        <v>33</v>
      </c>
      <c r="C31" s="202" t="s">
        <v>326</v>
      </c>
      <c r="D31" s="201"/>
      <c r="E31" s="201"/>
      <c r="F31" s="179"/>
      <c r="G31" s="13"/>
    </row>
    <row r="32" spans="1:11" ht="15.75" customHeight="1" x14ac:dyDescent="0.2">
      <c r="A32" s="16"/>
      <c r="B32" s="32" t="s">
        <v>34</v>
      </c>
      <c r="C32" s="169" t="s">
        <v>557</v>
      </c>
      <c r="D32" s="169"/>
      <c r="E32" s="169"/>
      <c r="F32" s="170"/>
      <c r="G32" s="12"/>
    </row>
    <row r="33" spans="1:10" ht="15.75" customHeight="1" x14ac:dyDescent="0.2">
      <c r="A33" s="16"/>
      <c r="B33" s="171" t="s">
        <v>35</v>
      </c>
      <c r="C33" s="218" t="s">
        <v>558</v>
      </c>
      <c r="D33" s="178"/>
      <c r="E33" s="178"/>
      <c r="F33" s="178"/>
      <c r="G33" s="12"/>
    </row>
    <row r="34" spans="1:10" ht="15.75" customHeight="1" x14ac:dyDescent="0.2">
      <c r="A34" s="16"/>
      <c r="B34" s="164"/>
      <c r="C34" s="165"/>
      <c r="D34" s="165"/>
      <c r="E34" s="165"/>
      <c r="F34" s="165"/>
      <c r="G34" s="23"/>
    </row>
    <row r="35" spans="1:10" ht="22.35" customHeight="1" x14ac:dyDescent="0.2">
      <c r="A35" s="16"/>
      <c r="B35" s="34" t="s">
        <v>36</v>
      </c>
      <c r="C35" s="178" t="s">
        <v>555</v>
      </c>
      <c r="D35" s="178"/>
      <c r="E35" s="178"/>
      <c r="F35" s="178"/>
      <c r="G35" s="23"/>
    </row>
    <row r="36" spans="1:10" ht="18" customHeight="1" x14ac:dyDescent="0.2">
      <c r="A36" s="16"/>
      <c r="B36" s="221" t="s">
        <v>37</v>
      </c>
      <c r="C36" s="180" t="s">
        <v>559</v>
      </c>
      <c r="D36" s="178"/>
      <c r="E36" s="176" t="s">
        <v>38</v>
      </c>
      <c r="F36" s="179"/>
      <c r="G36" s="23"/>
    </row>
    <row r="37" spans="1:10" ht="18.600000000000001" customHeight="1" x14ac:dyDescent="0.2">
      <c r="A37" s="16"/>
      <c r="B37" s="221"/>
      <c r="C37" s="175" t="s">
        <v>560</v>
      </c>
      <c r="D37" s="176"/>
      <c r="E37" s="176"/>
      <c r="F37" s="177"/>
      <c r="G37" s="23"/>
    </row>
    <row r="38" spans="1:10" ht="15.75" customHeight="1" x14ac:dyDescent="0.2">
      <c r="A38" s="16"/>
      <c r="B38" s="33"/>
      <c r="D38" s="22"/>
      <c r="E38" s="22"/>
      <c r="F38" s="22"/>
      <c r="G38" s="23"/>
    </row>
    <row r="39" spans="1:10" ht="15.75" customHeight="1" thickBot="1" x14ac:dyDescent="0.3">
      <c r="A39" s="18"/>
      <c r="B39" s="34" t="s">
        <v>39</v>
      </c>
      <c r="C39" s="187" t="s">
        <v>294</v>
      </c>
      <c r="D39" s="188"/>
      <c r="E39" s="188"/>
      <c r="F39" s="188"/>
    </row>
    <row r="40" spans="1:10" ht="27" customHeight="1" x14ac:dyDescent="0.2">
      <c r="A40" s="18"/>
      <c r="B40" s="171" t="s">
        <v>40</v>
      </c>
      <c r="C40" s="189" t="s">
        <v>326</v>
      </c>
      <c r="D40" s="189"/>
      <c r="E40" s="189"/>
      <c r="F40" s="190"/>
    </row>
    <row r="41" spans="1:10" ht="41.1" customHeight="1" x14ac:dyDescent="0.25">
      <c r="A41" s="19"/>
      <c r="B41" s="171" t="s">
        <v>41</v>
      </c>
      <c r="C41" s="187" t="s">
        <v>327</v>
      </c>
      <c r="D41" s="188"/>
      <c r="E41" s="188"/>
      <c r="F41" s="188"/>
    </row>
    <row r="42" spans="1:10" ht="57" customHeight="1" x14ac:dyDescent="0.25">
      <c r="A42" s="19"/>
      <c r="B42" s="171" t="s">
        <v>42</v>
      </c>
      <c r="C42" s="187" t="s">
        <v>50</v>
      </c>
      <c r="D42" s="188"/>
      <c r="E42" s="188"/>
      <c r="F42" s="188"/>
    </row>
    <row r="43" spans="1:10" ht="51.6" customHeight="1" x14ac:dyDescent="0.25">
      <c r="A43" s="18"/>
      <c r="B43" s="171" t="s">
        <v>43</v>
      </c>
      <c r="C43" s="187" t="s">
        <v>50</v>
      </c>
      <c r="D43" s="188"/>
      <c r="E43" s="188"/>
      <c r="F43" s="188"/>
    </row>
    <row r="44" spans="1:10" ht="21" customHeight="1" thickBot="1" x14ac:dyDescent="0.3">
      <c r="A44" s="18"/>
      <c r="B44" s="171" t="s">
        <v>44</v>
      </c>
      <c r="C44" s="187" t="s">
        <v>50</v>
      </c>
      <c r="D44" s="188"/>
      <c r="E44" s="188"/>
      <c r="F44" s="188"/>
    </row>
    <row r="45" spans="1:10" ht="21.75" customHeight="1" thickBot="1" x14ac:dyDescent="0.25">
      <c r="A45" s="18"/>
      <c r="B45" s="171" t="s">
        <v>45</v>
      </c>
      <c r="C45" s="189" t="s">
        <v>561</v>
      </c>
      <c r="D45" s="189"/>
      <c r="E45" s="189"/>
      <c r="F45" s="190"/>
    </row>
    <row r="46" spans="1:10" ht="54.6" customHeight="1" x14ac:dyDescent="0.2">
      <c r="A46" s="18"/>
      <c r="B46" s="171" t="s">
        <v>46</v>
      </c>
      <c r="C46" s="189" t="s">
        <v>562</v>
      </c>
      <c r="D46" s="189"/>
      <c r="E46" s="189"/>
      <c r="F46" s="190"/>
    </row>
    <row r="47" spans="1:10" ht="24" customHeight="1" x14ac:dyDescent="0.2">
      <c r="A47" s="15"/>
      <c r="B47" s="21"/>
      <c r="C47" s="21"/>
      <c r="D47" s="21"/>
      <c r="E47" s="21"/>
      <c r="F47" s="21"/>
      <c r="G47" s="21"/>
      <c r="H47" s="21"/>
      <c r="I47" s="21"/>
      <c r="J47" s="21"/>
    </row>
    <row r="48" spans="1:10" ht="33" customHeight="1" thickBot="1" x14ac:dyDescent="0.25"/>
    <row r="49" spans="1:10" ht="15.75" customHeight="1" thickTop="1" thickBot="1" x14ac:dyDescent="0.3">
      <c r="A49" s="209" t="s">
        <v>47</v>
      </c>
      <c r="B49" s="185" t="s">
        <v>48</v>
      </c>
      <c r="C49" s="185"/>
      <c r="D49" s="185"/>
      <c r="E49" s="185"/>
      <c r="F49" s="186"/>
      <c r="G49" s="194"/>
      <c r="H49" s="192"/>
    </row>
    <row r="50" spans="1:10" ht="50.25" customHeight="1" thickBot="1" x14ac:dyDescent="0.25">
      <c r="A50" s="210"/>
      <c r="B50" s="203" t="s">
        <v>49</v>
      </c>
      <c r="C50" s="183"/>
      <c r="D50" s="183"/>
      <c r="E50" s="184"/>
      <c r="F50" s="52" t="s">
        <v>294</v>
      </c>
      <c r="G50" s="193" t="s">
        <v>51</v>
      </c>
      <c r="H50" s="182"/>
    </row>
    <row r="51" spans="1:10" ht="57.75" customHeight="1" thickBot="1" x14ac:dyDescent="0.25">
      <c r="A51" s="211"/>
      <c r="B51" s="203" t="s">
        <v>52</v>
      </c>
      <c r="C51" s="183"/>
      <c r="D51" s="183"/>
      <c r="E51" s="184"/>
      <c r="F51" s="52" t="s">
        <v>294</v>
      </c>
      <c r="G51" s="195" t="s">
        <v>53</v>
      </c>
      <c r="H51" s="182"/>
    </row>
    <row r="52" spans="1:10" ht="47.1" customHeight="1" thickTop="1" thickBot="1" x14ac:dyDescent="0.25">
      <c r="A52" s="108"/>
      <c r="B52" s="183" t="s">
        <v>54</v>
      </c>
      <c r="C52" s="183"/>
      <c r="D52" s="183"/>
      <c r="E52" s="184"/>
      <c r="F52" s="52" t="s">
        <v>294</v>
      </c>
      <c r="G52" s="196" t="s">
        <v>55</v>
      </c>
      <c r="H52" s="182"/>
    </row>
    <row r="53" spans="1:10" ht="42.95" customHeight="1" thickBot="1" x14ac:dyDescent="0.25">
      <c r="A53" s="15"/>
      <c r="B53" s="183" t="s">
        <v>56</v>
      </c>
      <c r="C53" s="183"/>
      <c r="D53" s="183"/>
      <c r="E53" s="184"/>
      <c r="F53" s="52" t="s">
        <v>50</v>
      </c>
      <c r="G53" s="181" t="s">
        <v>57</v>
      </c>
      <c r="H53" s="182"/>
    </row>
    <row r="54" spans="1:10" ht="35.1" customHeight="1" thickBot="1" x14ac:dyDescent="0.25">
      <c r="A54" s="15"/>
      <c r="B54" s="183" t="s">
        <v>58</v>
      </c>
      <c r="C54" s="183"/>
      <c r="D54" s="183"/>
      <c r="E54" s="184"/>
      <c r="F54" s="52" t="s">
        <v>50</v>
      </c>
      <c r="G54" s="206" t="s">
        <v>59</v>
      </c>
      <c r="H54" s="182"/>
    </row>
    <row r="55" spans="1:10" ht="46.5" customHeight="1" thickBot="1" x14ac:dyDescent="0.25">
      <c r="A55" s="15"/>
      <c r="B55" s="183" t="s">
        <v>60</v>
      </c>
      <c r="C55" s="183"/>
      <c r="D55" s="183"/>
      <c r="E55" s="184"/>
      <c r="F55" s="52" t="s">
        <v>294</v>
      </c>
      <c r="G55" s="207" t="s">
        <v>61</v>
      </c>
      <c r="H55" s="182"/>
    </row>
    <row r="56" spans="1:10" ht="44.1" customHeight="1" thickBot="1" x14ac:dyDescent="0.25">
      <c r="B56" s="183" t="s">
        <v>62</v>
      </c>
      <c r="C56" s="183"/>
      <c r="D56" s="183"/>
      <c r="E56" s="184"/>
      <c r="F56" s="52" t="s">
        <v>294</v>
      </c>
      <c r="G56" s="204" t="s">
        <v>63</v>
      </c>
      <c r="H56" s="205"/>
    </row>
    <row r="58" spans="1:10" ht="15.75" customHeight="1" x14ac:dyDescent="0.2">
      <c r="B58" s="197" t="s">
        <v>64</v>
      </c>
      <c r="C58" s="197"/>
      <c r="D58" s="197"/>
      <c r="E58" s="197"/>
      <c r="F58" s="197"/>
      <c r="G58" s="197"/>
      <c r="H58" s="197"/>
      <c r="I58" s="197"/>
      <c r="J58" s="197"/>
    </row>
  </sheetData>
  <dataConsolidate/>
  <mergeCells count="50">
    <mergeCell ref="B1:H1"/>
    <mergeCell ref="A49:A51"/>
    <mergeCell ref="A22:A28"/>
    <mergeCell ref="A8:A10"/>
    <mergeCell ref="A3:A5"/>
    <mergeCell ref="B3:F3"/>
    <mergeCell ref="D4:F4"/>
    <mergeCell ref="D5:F5"/>
    <mergeCell ref="C39:F39"/>
    <mergeCell ref="C40:F40"/>
    <mergeCell ref="C33:F33"/>
    <mergeCell ref="C24:F24"/>
    <mergeCell ref="C22:F22"/>
    <mergeCell ref="C30:F30"/>
    <mergeCell ref="C31:F31"/>
    <mergeCell ref="B36:B37"/>
    <mergeCell ref="B58:J58"/>
    <mergeCell ref="C23:F23"/>
    <mergeCell ref="C25:F25"/>
    <mergeCell ref="C26:F26"/>
    <mergeCell ref="C27:F27"/>
    <mergeCell ref="C28:F28"/>
    <mergeCell ref="C29:F29"/>
    <mergeCell ref="B50:E50"/>
    <mergeCell ref="C41:F41"/>
    <mergeCell ref="C42:F42"/>
    <mergeCell ref="C43:F43"/>
    <mergeCell ref="B51:E51"/>
    <mergeCell ref="B56:E56"/>
    <mergeCell ref="G56:H56"/>
    <mergeCell ref="G54:H54"/>
    <mergeCell ref="G55:H55"/>
    <mergeCell ref="H4:K10"/>
    <mergeCell ref="G50:H50"/>
    <mergeCell ref="G49:H49"/>
    <mergeCell ref="G51:H51"/>
    <mergeCell ref="G52:H52"/>
    <mergeCell ref="B55:E55"/>
    <mergeCell ref="B52:E52"/>
    <mergeCell ref="B49:F49"/>
    <mergeCell ref="C44:F44"/>
    <mergeCell ref="C45:F45"/>
    <mergeCell ref="C46:F46"/>
    <mergeCell ref="B53:E53"/>
    <mergeCell ref="B54:E54"/>
    <mergeCell ref="C37:F37"/>
    <mergeCell ref="C35:F35"/>
    <mergeCell ref="E36:F36"/>
    <mergeCell ref="C36:D36"/>
    <mergeCell ref="G53:H53"/>
  </mergeCells>
  <conditionalFormatting sqref="C8">
    <cfRule type="cellIs" dxfId="17" priority="1" operator="equal">
      <formula>"LOW"</formula>
    </cfRule>
    <cfRule type="cellIs" dxfId="16" priority="2" operator="equal">
      <formula>"MEDIUM"</formula>
    </cfRule>
    <cfRule type="cellIs" dxfId="15" priority="3" operator="equal">
      <formula>"HIGH"</formula>
    </cfRule>
  </conditionalFormatting>
  <dataValidations count="1">
    <dataValidation showInputMessage="1" showErrorMessage="1" sqref="C32:F32" xr:uid="{29FF54F0-6B0C-4A04-86D9-38AAD7925749}"/>
  </dataValidations>
  <hyperlinks>
    <hyperlink ref="B31" r:id="rId1" xr:uid="{DF2B030A-051D-4EC3-BD1E-E12B2AEAFFA8}"/>
    <hyperlink ref="C33" r:id="rId2" xr:uid="{5477683F-CBB1-46F0-A33C-54DDBB7EF4CE}"/>
  </hyperlinks>
  <pageMargins left="0.7" right="0.7" top="0.75" bottom="0.75" header="0.3" footer="0.3"/>
  <pageSetup paperSize="9" orientation="portrait" r:id="rId3"/>
  <drawing r:id="rId4"/>
  <legacyDrawing r:id="rId5"/>
  <extLst>
    <ext xmlns:x14="http://schemas.microsoft.com/office/spreadsheetml/2009/9/main" uri="{78C0D931-6437-407d-A8EE-F0AAD7539E65}">
      <x14:conditionalFormattings>
        <x14:conditionalFormatting xmlns:xm="http://schemas.microsoft.com/office/excel/2006/main">
          <x14:cfRule type="cellIs" priority="8" operator="equal" id="{E87D0741-F1E8-4682-8E4A-3A3276CECF26}">
            <xm:f>Variables!$B$2</xm:f>
            <x14:dxf>
              <font>
                <color rgb="FF9C0006"/>
              </font>
              <fill>
                <patternFill>
                  <bgColor rgb="FFFFC7CE"/>
                </patternFill>
              </fill>
            </x14:dxf>
          </x14:cfRule>
          <xm:sqref>C39</xm:sqref>
        </x14:conditionalFormatting>
        <x14:conditionalFormatting xmlns:xm="http://schemas.microsoft.com/office/excel/2006/main">
          <x14:cfRule type="cellIs" priority="4" operator="equal" id="{457EA209-00AA-4EA7-84B8-283EAB865591}">
            <xm:f>Variables!$B$2</xm:f>
            <x14:dxf>
              <font>
                <color rgb="FF9C0006"/>
              </font>
              <fill>
                <patternFill>
                  <bgColor rgb="FFFFC7CE"/>
                </patternFill>
              </fill>
            </x14:dxf>
          </x14:cfRule>
          <xm:sqref>C41:C44</xm:sqref>
        </x14:conditionalFormatting>
      </x14:conditionalFormattings>
    </ext>
    <ext xmlns:x14="http://schemas.microsoft.com/office/spreadsheetml/2009/9/main" uri="{CCE6A557-97BC-4b89-ADB6-D9C93CAAB3DF}">
      <x14:dataValidations xmlns:xm="http://schemas.microsoft.com/office/excel/2006/main" count="8">
        <x14:dataValidation type="list" showInputMessage="1" showErrorMessage="1" xr:uid="{00000000-0002-0000-0100-000000000000}">
          <x14:formula1>
            <xm:f>Variables!$B$1:$B$3</xm:f>
          </x14:formula1>
          <xm:sqref>F50:F56</xm:sqref>
        </x14:dataValidation>
        <x14:dataValidation type="list" allowBlank="1" showInputMessage="1" showErrorMessage="1" xr:uid="{00000000-0002-0000-0100-000001000000}">
          <x14:formula1>
            <xm:f>Variables!$B$1:$B$3</xm:f>
          </x14:formula1>
          <xm:sqref>C42:C44 C39</xm:sqref>
        </x14:dataValidation>
        <x14:dataValidation type="list" allowBlank="1" showInputMessage="1" showErrorMessage="1" xr:uid="{877F0679-155C-44A5-9876-01C002F5C8F4}">
          <x14:formula1>
            <xm:f>'Data Processing'!$C$1:$C$4</xm:f>
          </x14:formula1>
          <xm:sqref>C41:F41</xm:sqref>
        </x14:dataValidation>
        <x14:dataValidation type="list" showInputMessage="1" showErrorMessage="1" xr:uid="{CDEE4A34-2F6E-4976-8EF0-7B593ABDE400}">
          <x14:formula1>
            <xm:f>Variables!$H$2:$H$26</xm:f>
          </x14:formula1>
          <xm:sqref>C29:F29</xm:sqref>
        </x14:dataValidation>
        <x14:dataValidation type="list" allowBlank="1" showInputMessage="1" showErrorMessage="1" xr:uid="{BB23FE5F-5313-4336-B100-E6C3F67C82AD}">
          <x14:formula1>
            <xm:f>'Data Processing'!$P$2:$P$4</xm:f>
          </x14:formula1>
          <xm:sqref>B5</xm:sqref>
        </x14:dataValidation>
        <x14:dataValidation type="list" allowBlank="1" showInputMessage="1" showErrorMessage="1" xr:uid="{D04C2ECA-6FB6-4F80-ACD7-363C0CEDB1F1}">
          <x14:formula1>
            <xm:f>'Data Processing'!$R$2:$R$4</xm:f>
          </x14:formula1>
          <xm:sqref>D5:F5</xm:sqref>
        </x14:dataValidation>
        <x14:dataValidation type="list" allowBlank="1" showInputMessage="1" showErrorMessage="1" xr:uid="{55DE50B8-CD0A-4C72-B218-A0AEB8407B29}">
          <x14:formula1>
            <xm:f>'Data Processing'!$Q$2:$Q$4</xm:f>
          </x14:formula1>
          <xm:sqref>C5</xm:sqref>
        </x14:dataValidation>
        <x14:dataValidation type="list" allowBlank="1" showInputMessage="1" showErrorMessage="1" xr:uid="{9823D3D7-B859-4282-B469-AF8235C5CA11}">
          <x14:formula1>
            <xm:f>'Data Processing'!$B$1:$B$9</xm:f>
          </x14:formula1>
          <xm:sqref>C40:F40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B45A"/>
  </sheetPr>
  <dimension ref="A1:K33"/>
  <sheetViews>
    <sheetView showGridLines="0" topLeftCell="A4" zoomScaleNormal="100" workbookViewId="0">
      <selection activeCell="A10" sqref="A10"/>
    </sheetView>
  </sheetViews>
  <sheetFormatPr defaultColWidth="9.140625" defaultRowHeight="42" customHeight="1" x14ac:dyDescent="0.25"/>
  <cols>
    <col min="1" max="1" width="11.5703125" style="160" customWidth="1"/>
    <col min="2" max="2" width="17.5703125" style="10" customWidth="1"/>
    <col min="3" max="3" width="18.5703125" style="11" customWidth="1"/>
    <col min="4" max="4" width="33.5703125" style="10" customWidth="1"/>
    <col min="5" max="5" width="18.5703125" style="20" customWidth="1"/>
    <col min="6" max="6" width="17" style="10" bestFit="1" customWidth="1"/>
    <col min="7" max="7" width="21.5703125" style="10" customWidth="1"/>
    <col min="8" max="8" width="24.140625" style="8" customWidth="1"/>
    <col min="9" max="9" width="34.5703125" style="10" bestFit="1" customWidth="1"/>
    <col min="10" max="10" width="26.5703125" style="93"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x14ac:dyDescent="0.2">
      <c r="E1" s="173"/>
      <c r="F1" s="20"/>
      <c r="H1" s="9"/>
      <c r="J1" s="8"/>
    </row>
    <row r="2" spans="1:11" s="8" customFormat="1" ht="18" x14ac:dyDescent="0.25">
      <c r="A2" s="157"/>
      <c r="B2" s="225" t="s">
        <v>65</v>
      </c>
      <c r="C2" s="225"/>
      <c r="D2" s="225"/>
      <c r="E2" s="225"/>
      <c r="F2" s="225"/>
      <c r="G2" s="225"/>
      <c r="H2" s="225"/>
      <c r="I2" s="225"/>
      <c r="J2" s="225"/>
      <c r="K2" s="225"/>
    </row>
    <row r="3" spans="1:11" s="8" customFormat="1" ht="12.75" x14ac:dyDescent="0.2">
      <c r="A3" s="157"/>
    </row>
    <row r="4" spans="1:11" s="8" customFormat="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s="8" customFormat="1" ht="39" thickBot="1" x14ac:dyDescent="0.25">
      <c r="A5" s="162" t="s">
        <v>77</v>
      </c>
      <c r="B5" s="24" t="s">
        <v>78</v>
      </c>
      <c r="C5" s="25" t="s">
        <v>79</v>
      </c>
      <c r="D5" s="131" t="str">
        <f>VLOOKUP(A5,'Control Sheet'!_xlnm._FilterDatabase, 2,FALSE)</f>
        <v>Enable disk encryption using NG approved tool and apply recommended settings</v>
      </c>
      <c r="E5" s="51" t="s">
        <v>80</v>
      </c>
      <c r="F5" s="25" t="s">
        <v>81</v>
      </c>
      <c r="G5" s="25" t="s">
        <v>82</v>
      </c>
      <c r="H5" s="25" t="s">
        <v>83</v>
      </c>
      <c r="I5" s="79" t="s">
        <v>84</v>
      </c>
      <c r="J5" s="79"/>
      <c r="K5" s="80"/>
    </row>
    <row r="6" spans="1:11" s="8" customFormat="1" ht="102.75" thickBot="1" x14ac:dyDescent="0.25">
      <c r="A6" s="162" t="s">
        <v>85</v>
      </c>
      <c r="B6" s="24" t="s">
        <v>86</v>
      </c>
      <c r="C6" s="25" t="s">
        <v>87</v>
      </c>
      <c r="D6" s="131" t="str">
        <f>VLOOKUP(A6,'Control Sheet'!_xlnm._FilterDatabase, 2,FALSE)</f>
        <v>Ensure all systems deploy approved antivirus and malware defense solution</v>
      </c>
      <c r="E6" s="51" t="s">
        <v>88</v>
      </c>
      <c r="F6" s="25" t="s">
        <v>81</v>
      </c>
      <c r="G6" s="25" t="s">
        <v>82</v>
      </c>
      <c r="H6" s="25" t="s">
        <v>83</v>
      </c>
      <c r="I6" s="79" t="s">
        <v>84</v>
      </c>
      <c r="J6" s="79"/>
      <c r="K6" s="80"/>
    </row>
    <row r="7" spans="1:11" s="8" customFormat="1" ht="179.25" thickBot="1" x14ac:dyDescent="0.25">
      <c r="A7" s="162" t="s">
        <v>89</v>
      </c>
      <c r="B7" s="24" t="s">
        <v>90</v>
      </c>
      <c r="C7" s="25" t="s">
        <v>87</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91</v>
      </c>
      <c r="F7" s="25" t="s">
        <v>81</v>
      </c>
      <c r="G7" s="25" t="s">
        <v>82</v>
      </c>
      <c r="H7" s="25" t="s">
        <v>83</v>
      </c>
      <c r="I7" s="79" t="s">
        <v>84</v>
      </c>
      <c r="J7" s="79"/>
      <c r="K7" s="80"/>
    </row>
    <row r="8" spans="1:11" s="8" customFormat="1" ht="102.75" thickBot="1" x14ac:dyDescent="0.25">
      <c r="A8" s="162" t="s">
        <v>92</v>
      </c>
      <c r="B8" s="24" t="s">
        <v>93</v>
      </c>
      <c r="C8" s="25" t="s">
        <v>79</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94</v>
      </c>
      <c r="F8" s="25" t="s">
        <v>81</v>
      </c>
      <c r="G8" s="25" t="s">
        <v>82</v>
      </c>
      <c r="H8" s="25" t="s">
        <v>83</v>
      </c>
      <c r="I8" s="79" t="s">
        <v>95</v>
      </c>
      <c r="J8" s="79"/>
      <c r="K8" s="80"/>
    </row>
    <row r="9" spans="1:11" s="8" customFormat="1" ht="26.25" thickBot="1" x14ac:dyDescent="0.25">
      <c r="A9" s="162" t="s">
        <v>96</v>
      </c>
      <c r="B9" s="26" t="s">
        <v>97</v>
      </c>
      <c r="C9" s="67" t="s">
        <v>98</v>
      </c>
      <c r="D9" s="67" t="s">
        <v>99</v>
      </c>
      <c r="E9" s="67" t="s">
        <v>98</v>
      </c>
      <c r="F9" s="67" t="s">
        <v>99</v>
      </c>
      <c r="G9" s="67" t="s">
        <v>99</v>
      </c>
      <c r="H9" s="67" t="s">
        <v>98</v>
      </c>
      <c r="I9" s="67" t="s">
        <v>98</v>
      </c>
      <c r="J9" s="79"/>
      <c r="K9" s="80"/>
    </row>
    <row r="10" spans="1:11" s="8" customFormat="1" ht="90" thickBot="1" x14ac:dyDescent="0.25">
      <c r="A10" s="167" t="s">
        <v>100</v>
      </c>
      <c r="B10" s="26" t="s">
        <v>101</v>
      </c>
      <c r="C10" s="25" t="s">
        <v>79</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57" t="s">
        <v>102</v>
      </c>
      <c r="F10" s="25" t="s">
        <v>81</v>
      </c>
      <c r="G10" s="25" t="s">
        <v>82</v>
      </c>
      <c r="H10" s="25" t="s">
        <v>83</v>
      </c>
      <c r="I10" s="79" t="s">
        <v>103</v>
      </c>
      <c r="J10" s="79"/>
      <c r="K10" s="80"/>
    </row>
    <row r="11" spans="1:11" s="8" customFormat="1" ht="153.75" thickBot="1" x14ac:dyDescent="0.25">
      <c r="A11" s="162" t="s">
        <v>104</v>
      </c>
      <c r="B11" s="26" t="s">
        <v>105</v>
      </c>
      <c r="C11" s="25" t="s">
        <v>79</v>
      </c>
      <c r="D11" s="131" t="str">
        <f>VLOOKUP(A11,'Control Sheet'!_xlnm._FilterDatabase, 2,FALSE)</f>
        <v>1) Deploy appropriate security service for intrusion detection.
2) Review alerts as they are received.
3) Integrate log with Cyber Security Operation Centre (CSOC) log service.</v>
      </c>
      <c r="E11" s="56" t="s">
        <v>106</v>
      </c>
      <c r="F11" s="25" t="s">
        <v>81</v>
      </c>
      <c r="G11" s="25" t="s">
        <v>82</v>
      </c>
      <c r="H11" s="25" t="s">
        <v>83</v>
      </c>
      <c r="I11" s="79" t="s">
        <v>84</v>
      </c>
      <c r="J11" s="79"/>
      <c r="K11" s="80"/>
    </row>
    <row r="12" spans="1:11" s="8" customFormat="1" ht="25.5" x14ac:dyDescent="0.2">
      <c r="A12" s="97"/>
      <c r="B12" s="26" t="s">
        <v>107</v>
      </c>
      <c r="C12" s="25"/>
      <c r="D12" s="28"/>
      <c r="E12" s="28"/>
      <c r="F12" s="25"/>
      <c r="G12" s="25"/>
      <c r="H12" s="25"/>
      <c r="I12" s="27"/>
      <c r="J12" s="79"/>
      <c r="K12" s="80"/>
    </row>
    <row r="13" spans="1:11" s="8" customFormat="1" ht="25.5" x14ac:dyDescent="0.2">
      <c r="A13" s="97"/>
      <c r="B13" s="26" t="s">
        <v>107</v>
      </c>
      <c r="C13" s="25"/>
      <c r="D13" s="28"/>
      <c r="E13" s="28"/>
      <c r="F13" s="25"/>
      <c r="G13" s="25"/>
      <c r="H13" s="25"/>
      <c r="I13" s="27"/>
      <c r="J13" s="79"/>
      <c r="K13" s="80"/>
    </row>
    <row r="14" spans="1:11" s="8" customFormat="1" ht="25.5" x14ac:dyDescent="0.2">
      <c r="A14" s="97"/>
      <c r="B14" s="26" t="s">
        <v>107</v>
      </c>
      <c r="C14" s="25"/>
      <c r="D14" s="29"/>
      <c r="E14" s="28"/>
      <c r="F14" s="25"/>
      <c r="G14" s="25"/>
      <c r="H14" s="25"/>
      <c r="I14" s="27"/>
      <c r="J14" s="79"/>
      <c r="K14" s="80"/>
    </row>
    <row r="15" spans="1:11" s="8" customFormat="1" ht="25.5" x14ac:dyDescent="0.2">
      <c r="A15" s="97"/>
      <c r="B15" s="26" t="s">
        <v>107</v>
      </c>
      <c r="C15" s="25"/>
      <c r="D15" s="29"/>
      <c r="E15" s="28"/>
      <c r="F15" s="25"/>
      <c r="G15" s="25"/>
      <c r="H15" s="25"/>
      <c r="I15" s="27"/>
      <c r="J15" s="79"/>
      <c r="K15" s="80"/>
    </row>
    <row r="16" spans="1:11" s="8" customFormat="1" ht="25.5" x14ac:dyDescent="0.2">
      <c r="A16" s="97"/>
      <c r="B16" s="26" t="s">
        <v>107</v>
      </c>
      <c r="C16" s="25"/>
      <c r="D16" s="29"/>
      <c r="E16" s="28"/>
      <c r="F16" s="25"/>
      <c r="G16" s="25"/>
      <c r="H16" s="25"/>
      <c r="I16" s="27"/>
      <c r="J16" s="79"/>
      <c r="K16" s="80"/>
    </row>
    <row r="17" spans="4:11" ht="12.95" customHeight="1" x14ac:dyDescent="0.2">
      <c r="D17" s="222" t="s">
        <v>108</v>
      </c>
      <c r="E17" s="92" t="s">
        <v>109</v>
      </c>
      <c r="F17" s="40">
        <f>COUNTIFS($F$5:$F$16,"completed")</f>
        <v>0</v>
      </c>
      <c r="G17" s="41">
        <f>COUNTIFS($G$5:$G$16,"yes")</f>
        <v>0</v>
      </c>
      <c r="H17" s="10"/>
      <c r="I17" s="14"/>
      <c r="J17" s="8"/>
      <c r="K17" s="14"/>
    </row>
    <row r="18" spans="4:11" ht="12.95" customHeight="1" x14ac:dyDescent="0.2">
      <c r="D18" s="223"/>
      <c r="E18" s="92" t="s">
        <v>110</v>
      </c>
      <c r="F18" s="40">
        <f>COUNTIFS($F$5:$F$16,"not started")</f>
        <v>6</v>
      </c>
      <c r="G18" s="41">
        <f>COUNTIFS($G$5:$G$16,"TBC")</f>
        <v>6</v>
      </c>
      <c r="H18" s="10"/>
      <c r="I18" s="14"/>
      <c r="J18" s="8"/>
      <c r="K18" s="14"/>
    </row>
    <row r="19" spans="4:11" ht="12.95" customHeight="1" x14ac:dyDescent="0.2">
      <c r="D19" s="223"/>
      <c r="E19" s="92" t="s">
        <v>99</v>
      </c>
      <c r="F19" s="40">
        <f>COUNTIFS($F$5:$F$16,"not applicable")</f>
        <v>1</v>
      </c>
      <c r="G19" s="41">
        <f>COUNTIFS($G$5:$G$16,"not applicable")</f>
        <v>1</v>
      </c>
      <c r="H19" s="10"/>
      <c r="I19" s="14"/>
      <c r="J19" s="8"/>
      <c r="K19" s="14"/>
    </row>
    <row r="20" spans="4:11" ht="12.95" customHeight="1" x14ac:dyDescent="0.2">
      <c r="D20" s="223"/>
      <c r="E20" s="92" t="s">
        <v>111</v>
      </c>
      <c r="F20" s="40">
        <f>COUNTIFS($F$5:$F$16,"in progress")</f>
        <v>0</v>
      </c>
      <c r="G20" s="41">
        <f>COUNTIFS($G$5:$G$16,"in progress")</f>
        <v>0</v>
      </c>
      <c r="H20" s="10"/>
      <c r="I20" s="14"/>
      <c r="J20" s="8"/>
      <c r="K20" s="14"/>
    </row>
    <row r="21" spans="4:11" ht="12.95" customHeight="1" x14ac:dyDescent="0.2">
      <c r="D21" s="224"/>
      <c r="E21" s="92" t="s">
        <v>112</v>
      </c>
      <c r="F21" s="107">
        <f>SUM(F17:F20)</f>
        <v>7</v>
      </c>
      <c r="G21" s="98">
        <f>SUM(G17:G20)</f>
        <v>7</v>
      </c>
      <c r="H21" s="10"/>
      <c r="I21" s="14"/>
      <c r="J21" s="8"/>
      <c r="K21" s="14"/>
    </row>
    <row r="22" spans="4:11" ht="42" customHeight="1" x14ac:dyDescent="0.2">
      <c r="E22" s="10"/>
      <c r="F22" s="20"/>
      <c r="H22" s="10"/>
      <c r="J22" s="8"/>
    </row>
    <row r="23" spans="4:11" ht="42" customHeight="1" x14ac:dyDescent="0.2">
      <c r="E23" s="10"/>
      <c r="F23" s="20"/>
      <c r="H23" s="10"/>
      <c r="J23" s="8"/>
    </row>
    <row r="24" spans="4:11" ht="42" customHeight="1" x14ac:dyDescent="0.2">
      <c r="H24" s="10"/>
      <c r="J24" s="8"/>
    </row>
    <row r="25" spans="4:11" ht="42" customHeight="1" x14ac:dyDescent="0.2">
      <c r="H25" s="10"/>
      <c r="J25" s="8"/>
    </row>
    <row r="26" spans="4:11" ht="42" customHeight="1" x14ac:dyDescent="0.2">
      <c r="H26" s="106"/>
      <c r="J26" s="8"/>
    </row>
    <row r="27" spans="4:11" ht="42" customHeight="1" x14ac:dyDescent="0.2">
      <c r="H27" s="106"/>
      <c r="J27" s="8"/>
    </row>
    <row r="28" spans="4:11" ht="42" customHeight="1" x14ac:dyDescent="0.2">
      <c r="H28" s="106"/>
      <c r="J28" s="8"/>
    </row>
    <row r="29" spans="4:11" ht="42" customHeight="1" x14ac:dyDescent="0.2">
      <c r="H29" s="106"/>
      <c r="J29" s="8"/>
    </row>
    <row r="30" spans="4:11" ht="42" customHeight="1" x14ac:dyDescent="0.2">
      <c r="J30" s="8"/>
    </row>
    <row r="31" spans="4:11" ht="42" customHeight="1" x14ac:dyDescent="0.2">
      <c r="J31" s="8"/>
    </row>
    <row r="32" spans="4:11" ht="42" customHeight="1" x14ac:dyDescent="0.2">
      <c r="J32" s="8"/>
    </row>
    <row r="33" spans="10:10" ht="42" customHeight="1" x14ac:dyDescent="0.2">
      <c r="J33" s="8"/>
    </row>
  </sheetData>
  <mergeCells count="2">
    <mergeCell ref="D17:D21"/>
    <mergeCell ref="B2:K2"/>
  </mergeCells>
  <dataValidations count="1">
    <dataValidation showInputMessage="1" showErrorMessage="1" sqref="H17:H22" xr:uid="{B96CDA38-2F65-4B6C-A624-A097D5BE74C3}"/>
  </dataValidations>
  <hyperlinks>
    <hyperlink ref="J4" r:id="rId1" xr:uid="{84F85CF3-D81C-4B8C-A43F-2DE843A7687C}"/>
    <hyperlink ref="A5" r:id="rId2" xr:uid="{CEE381D7-E2DB-47CF-BBCD-188259CB77A8}"/>
    <hyperlink ref="A6" r:id="rId3" xr:uid="{AD7AB2CB-2EDF-4494-A77F-B8499EB4C37D}"/>
    <hyperlink ref="A7" r:id="rId4" xr:uid="{970BF0B4-E2D2-41BF-873F-2E0E744DEBBD}"/>
    <hyperlink ref="A9" r:id="rId5" xr:uid="{CC98C727-9B01-41CC-9688-4F78AA4641B3}"/>
    <hyperlink ref="A11" r:id="rId6" xr:uid="{38DAAE4D-DD53-4B69-AFFF-F37D06C418EE}"/>
    <hyperlink ref="A8" r:id="rId7" xr:uid="{7A3A52B0-1848-4140-BDEE-2FF8BE0EDA92}"/>
    <hyperlink ref="A10" r:id="rId8" xr:uid="{D50BD22E-D4E9-4ACA-A6FD-DB4EE709F45B}"/>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4">
        <x14:dataValidation type="list" showInputMessage="1" showErrorMessage="1" xr:uid="{FB00B210-C40D-49F9-AB2A-D52E9AD6E24F}">
          <x14:formula1>
            <xm:f>Variables!$L$2:$L$4</xm:f>
          </x14:formula1>
          <xm:sqref>H5:H16</xm:sqref>
        </x14:dataValidation>
        <x14:dataValidation type="list" allowBlank="1" showInputMessage="1" showErrorMessage="1" xr:uid="{14BD3D57-465D-43B5-91D6-5C28062A8BFF}">
          <x14:formula1>
            <xm:f>Variables!$A$2:$A$4</xm:f>
          </x14:formula1>
          <xm:sqref>C5:C16</xm:sqref>
        </x14:dataValidation>
        <x14:dataValidation type="list" showInputMessage="1" showErrorMessage="1" xr:uid="{8BC5963C-1E7D-47A2-BB93-5D1B39C6796D}">
          <x14:formula1>
            <xm:f>Variables!$I$2:$I$5</xm:f>
          </x14:formula1>
          <xm:sqref>F5:F16</xm:sqref>
        </x14:dataValidation>
        <x14:dataValidation type="list" showInputMessage="1" showErrorMessage="1" xr:uid="{AAC55EF9-567F-4C19-AE4E-85C297A0B84B}">
          <x14:formula1>
            <xm:f>Variables!$J$2:$J$5</xm:f>
          </x14:formula1>
          <xm:sqref>G5:G16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3CD"/>
  </sheetPr>
  <dimension ref="A1:K34"/>
  <sheetViews>
    <sheetView showGridLines="0" topLeftCell="A16" zoomScaleNormal="100" workbookViewId="0">
      <selection activeCell="A17" sqref="A17"/>
    </sheetView>
  </sheetViews>
  <sheetFormatPr defaultRowHeight="15" x14ac:dyDescent="0.25"/>
  <cols>
    <col min="1" max="1" width="11.5703125" style="156" customWidth="1"/>
    <col min="2" max="2" width="17.5703125" style="8" customWidth="1"/>
    <col min="3" max="3" width="18.5703125" style="8" customWidth="1"/>
    <col min="4" max="4" width="33.5703125" style="8" customWidth="1"/>
    <col min="5" max="5" width="18.5703125" style="8" customWidth="1"/>
    <col min="6" max="6" width="17" style="9" customWidth="1"/>
    <col min="7" max="7" width="21.5703125" style="9" customWidth="1"/>
    <col min="8" max="8" width="24.140625" style="8" customWidth="1"/>
    <col min="9" max="9" width="34.5703125" style="8" bestFit="1" customWidth="1"/>
    <col min="10" max="10" width="26.5703125" style="93"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x14ac:dyDescent="0.2">
      <c r="C1" s="226"/>
      <c r="D1" s="226"/>
      <c r="E1" s="173"/>
      <c r="H1" s="9"/>
      <c r="J1" s="8"/>
    </row>
    <row r="2" spans="1:11" ht="18" x14ac:dyDescent="0.25">
      <c r="B2" s="225" t="s">
        <v>113</v>
      </c>
      <c r="C2" s="225"/>
      <c r="D2" s="225"/>
      <c r="E2" s="225"/>
      <c r="F2" s="225"/>
      <c r="G2" s="225"/>
      <c r="H2" s="225"/>
      <c r="I2" s="225"/>
      <c r="J2" s="225"/>
      <c r="K2" s="225"/>
    </row>
    <row r="3" spans="1:11" ht="12.75" x14ac:dyDescent="0.2">
      <c r="F3" s="8"/>
      <c r="G3" s="8"/>
      <c r="J3" s="8"/>
    </row>
    <row r="4" spans="1:1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ht="64.5" thickBot="1" x14ac:dyDescent="0.25">
      <c r="A5" s="162" t="s">
        <v>114</v>
      </c>
      <c r="B5" s="24" t="s">
        <v>115</v>
      </c>
      <c r="C5" s="25" t="s">
        <v>87</v>
      </c>
      <c r="D5" s="131" t="str">
        <f>VLOOKUP(A5,'Control Sheet'!_xlnm._FilterDatabase, 2,FALSE)</f>
        <v>Perform a monthly vulnerability scan. 
Remediate severity 4 and 5 vulnerabilities within two days of discovery and severity 3 vulnerabilities within seven days (TBC).</v>
      </c>
      <c r="E5" s="51" t="s">
        <v>116</v>
      </c>
      <c r="F5" s="25" t="s">
        <v>81</v>
      </c>
      <c r="G5" s="25" t="s">
        <v>82</v>
      </c>
      <c r="H5" s="25" t="s">
        <v>83</v>
      </c>
      <c r="I5" s="79" t="s">
        <v>95</v>
      </c>
      <c r="J5" s="79"/>
      <c r="K5" s="80"/>
    </row>
    <row r="6" spans="1:11" ht="39" thickBot="1" x14ac:dyDescent="0.25">
      <c r="A6" s="162" t="s">
        <v>117</v>
      </c>
      <c r="B6" s="24" t="s">
        <v>118</v>
      </c>
      <c r="C6" s="25" t="s">
        <v>79</v>
      </c>
      <c r="D6" s="131" t="str">
        <f>VLOOKUP(A6,'Control Sheet'!_xlnm._FilterDatabase, 2,FALSE)</f>
        <v>Enable host-based firewall in default deny mode and permit the Baseline necessary services.</v>
      </c>
      <c r="E6" s="51" t="s">
        <v>119</v>
      </c>
      <c r="F6" s="25" t="s">
        <v>81</v>
      </c>
      <c r="G6" s="25" t="s">
        <v>82</v>
      </c>
      <c r="H6" s="25" t="s">
        <v>83</v>
      </c>
      <c r="I6" s="79" t="s">
        <v>120</v>
      </c>
      <c r="J6" s="79"/>
      <c r="K6" s="80"/>
    </row>
    <row r="7" spans="1:11" ht="102.75" thickBot="1" x14ac:dyDescent="0.25">
      <c r="A7" s="162" t="s">
        <v>121</v>
      </c>
      <c r="B7" s="24" t="s">
        <v>122</v>
      </c>
      <c r="C7" s="25"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90" thickBot="1" x14ac:dyDescent="0.25">
      <c r="A8" s="162" t="s">
        <v>124</v>
      </c>
      <c r="B8" s="24" t="s">
        <v>125</v>
      </c>
      <c r="C8" s="25" t="s">
        <v>87</v>
      </c>
      <c r="D8" s="131" t="str">
        <f>VLOOKUP(A8,'Control Sheet'!_xlnm._FilterDatabase, 2,FALSE)</f>
        <v>Forward logs to a remote log server. Logs should be made available to NG CSOC</v>
      </c>
      <c r="E8" s="51" t="s">
        <v>126</v>
      </c>
      <c r="F8" s="25" t="s">
        <v>81</v>
      </c>
      <c r="G8" s="25" t="s">
        <v>82</v>
      </c>
      <c r="H8" s="25" t="s">
        <v>83</v>
      </c>
      <c r="I8" s="79" t="s">
        <v>127</v>
      </c>
      <c r="J8" s="79"/>
      <c r="K8" s="80"/>
    </row>
    <row r="9" spans="1:11" ht="102.75" thickBot="1" x14ac:dyDescent="0.25">
      <c r="A9" s="162" t="s">
        <v>104</v>
      </c>
      <c r="B9" s="26" t="s">
        <v>105</v>
      </c>
      <c r="C9" s="25" t="s">
        <v>87</v>
      </c>
      <c r="D9" s="131" t="str">
        <f>VLOOKUP(A9,'Control Sheet'!_xlnm._FilterDatabase, 2,FALSE)</f>
        <v>1) Deploy appropriate security service for intrusion detection.
2) Review alerts as they are received.
3) Integrate log with Cyber Security Operation Centre (CSOC) log service.</v>
      </c>
      <c r="E9" s="51" t="s">
        <v>128</v>
      </c>
      <c r="F9" s="25" t="s">
        <v>81</v>
      </c>
      <c r="G9" s="25" t="s">
        <v>82</v>
      </c>
      <c r="H9" s="25" t="s">
        <v>83</v>
      </c>
      <c r="I9" s="79" t="s">
        <v>120</v>
      </c>
      <c r="J9" s="79"/>
      <c r="K9" s="80"/>
    </row>
    <row r="10" spans="1:11" ht="39" thickBot="1" x14ac:dyDescent="0.25">
      <c r="A10" s="162" t="s">
        <v>129</v>
      </c>
      <c r="B10" s="26" t="s">
        <v>130</v>
      </c>
      <c r="C10" s="25" t="s">
        <v>79</v>
      </c>
      <c r="D10" s="131" t="str">
        <f>VLOOKUP(A10,'Control Sheet'!_xlnm._FilterDatabase, 2,FALSE)</f>
        <v>Place system hardware in National Grid authorized datacenter.</v>
      </c>
      <c r="E10" s="51" t="s">
        <v>131</v>
      </c>
      <c r="F10" s="25" t="s">
        <v>81</v>
      </c>
      <c r="G10" s="25" t="s">
        <v>82</v>
      </c>
      <c r="H10" s="25" t="s">
        <v>83</v>
      </c>
      <c r="I10" s="79" t="s">
        <v>132</v>
      </c>
      <c r="J10" s="79"/>
      <c r="K10" s="80"/>
    </row>
    <row r="11" spans="1:11" ht="26.25" thickBot="1" x14ac:dyDescent="0.25">
      <c r="A11" s="162" t="s">
        <v>133</v>
      </c>
      <c r="B11" s="26" t="s">
        <v>134</v>
      </c>
      <c r="C11" s="67" t="s">
        <v>98</v>
      </c>
      <c r="D11" s="67" t="s">
        <v>99</v>
      </c>
      <c r="E11" s="67" t="s">
        <v>98</v>
      </c>
      <c r="F11" s="67" t="s">
        <v>99</v>
      </c>
      <c r="G11" s="67" t="s">
        <v>99</v>
      </c>
      <c r="H11" s="67" t="s">
        <v>98</v>
      </c>
      <c r="I11" s="67" t="s">
        <v>98</v>
      </c>
      <c r="J11" s="79"/>
      <c r="K11" s="80"/>
    </row>
    <row r="12" spans="1:11" ht="102.75" thickBot="1" x14ac:dyDescent="0.25">
      <c r="A12" s="162" t="s">
        <v>85</v>
      </c>
      <c r="B12" s="26" t="s">
        <v>86</v>
      </c>
      <c r="C12" s="25" t="s">
        <v>87</v>
      </c>
      <c r="D12" s="131" t="str">
        <f>VLOOKUP(A12,'Control Sheet'!_xlnm._FilterDatabase, 2,FALSE)</f>
        <v>Ensure all systems deploy approved antivirus and malware defense solution</v>
      </c>
      <c r="E12" s="51" t="s">
        <v>88</v>
      </c>
      <c r="F12" s="25" t="s">
        <v>81</v>
      </c>
      <c r="G12" s="25" t="s">
        <v>82</v>
      </c>
      <c r="H12" s="25" t="s">
        <v>83</v>
      </c>
      <c r="I12" s="79" t="s">
        <v>120</v>
      </c>
      <c r="J12" s="79"/>
      <c r="K12" s="80"/>
    </row>
    <row r="13" spans="1:11" ht="179.25" thickBot="1" x14ac:dyDescent="0.25">
      <c r="A13" s="162" t="s">
        <v>89</v>
      </c>
      <c r="B13" s="26" t="s">
        <v>135</v>
      </c>
      <c r="C13" s="25"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91</v>
      </c>
      <c r="F13" s="25" t="s">
        <v>81</v>
      </c>
      <c r="G13" s="25" t="s">
        <v>82</v>
      </c>
      <c r="H13" s="25" t="s">
        <v>83</v>
      </c>
      <c r="I13" s="79" t="s">
        <v>120</v>
      </c>
      <c r="J13" s="79"/>
      <c r="K13" s="80"/>
    </row>
    <row r="14" spans="1:11" ht="26.25" thickBot="1" x14ac:dyDescent="0.25">
      <c r="A14" s="162" t="s">
        <v>96</v>
      </c>
      <c r="B14" s="26" t="s">
        <v>97</v>
      </c>
      <c r="C14" s="67" t="s">
        <v>98</v>
      </c>
      <c r="D14" s="67" t="s">
        <v>99</v>
      </c>
      <c r="E14" s="67" t="s">
        <v>98</v>
      </c>
      <c r="F14" s="67" t="s">
        <v>99</v>
      </c>
      <c r="G14" s="67" t="s">
        <v>99</v>
      </c>
      <c r="H14" s="67" t="s">
        <v>98</v>
      </c>
      <c r="I14" s="67" t="s">
        <v>98</v>
      </c>
      <c r="J14" s="79"/>
      <c r="K14" s="80"/>
    </row>
    <row r="15" spans="1:11" ht="90" thickBot="1" x14ac:dyDescent="0.25">
      <c r="A15" s="167" t="s">
        <v>100</v>
      </c>
      <c r="B15" s="26" t="s">
        <v>101</v>
      </c>
      <c r="C15" s="25" t="s">
        <v>79</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56" t="s">
        <v>102</v>
      </c>
      <c r="F15" s="25" t="s">
        <v>81</v>
      </c>
      <c r="G15" s="25" t="s">
        <v>82</v>
      </c>
      <c r="H15" s="25" t="s">
        <v>83</v>
      </c>
      <c r="I15" s="79" t="s">
        <v>103</v>
      </c>
      <c r="J15" s="79"/>
      <c r="K15" s="80"/>
    </row>
    <row r="16" spans="1:11" ht="77.25" thickBot="1" x14ac:dyDescent="0.25">
      <c r="A16" s="162" t="s">
        <v>136</v>
      </c>
      <c r="B16" s="26" t="s">
        <v>137</v>
      </c>
      <c r="C16" s="25" t="s">
        <v>79</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56" t="s">
        <v>138</v>
      </c>
      <c r="F16" s="25" t="s">
        <v>81</v>
      </c>
      <c r="G16" s="25" t="s">
        <v>82</v>
      </c>
      <c r="H16" s="25" t="s">
        <v>83</v>
      </c>
      <c r="I16" s="79" t="s">
        <v>95</v>
      </c>
      <c r="J16" s="79"/>
      <c r="K16" s="80"/>
    </row>
    <row r="17" spans="1:11" ht="26.25" thickBot="1" x14ac:dyDescent="0.25">
      <c r="A17" s="162" t="s">
        <v>139</v>
      </c>
      <c r="B17" s="26" t="s">
        <v>140</v>
      </c>
      <c r="C17" s="58" t="s">
        <v>87</v>
      </c>
      <c r="D17" s="131" t="str">
        <f>VLOOKUP(A17,'Control Sheet'!_xlnm._FilterDatabase, 2,FALSE)</f>
        <v>OS &amp; Software packages supported by vendor for 3 years (perpetual)</v>
      </c>
      <c r="E17" s="75" t="s">
        <v>141</v>
      </c>
      <c r="F17" s="25" t="s">
        <v>81</v>
      </c>
      <c r="G17" s="25" t="s">
        <v>82</v>
      </c>
      <c r="H17" s="25" t="s">
        <v>83</v>
      </c>
      <c r="I17" s="79" t="s">
        <v>141</v>
      </c>
      <c r="J17" s="79"/>
      <c r="K17" s="80"/>
    </row>
    <row r="18" spans="1:11" ht="30.75" thickBot="1" x14ac:dyDescent="0.25">
      <c r="A18" s="162" t="s">
        <v>142</v>
      </c>
      <c r="B18" s="94" t="s">
        <v>143</v>
      </c>
      <c r="C18" s="153" t="s">
        <v>79</v>
      </c>
      <c r="D18" s="131" t="str">
        <f>VLOOKUP(A18,'Control Sheet'!_xlnm._FilterDatabase, 2,FALSE)</f>
        <v>Production, and non-production environments should be segregated </v>
      </c>
      <c r="E18" s="127" t="s">
        <v>141</v>
      </c>
      <c r="F18" s="25" t="s">
        <v>81</v>
      </c>
      <c r="G18" s="25" t="s">
        <v>82</v>
      </c>
      <c r="H18" s="25" t="s">
        <v>83</v>
      </c>
      <c r="I18" s="79" t="s">
        <v>141</v>
      </c>
      <c r="J18" s="79"/>
      <c r="K18" s="80"/>
    </row>
    <row r="19" spans="1:11" ht="30.75" thickBot="1" x14ac:dyDescent="0.25">
      <c r="A19" s="162" t="s">
        <v>144</v>
      </c>
      <c r="B19" s="94" t="s">
        <v>145</v>
      </c>
      <c r="C19" s="154" t="s">
        <v>79</v>
      </c>
      <c r="D19" s="131" t="str">
        <f>VLOOKUP(A19,'Control Sheet'!_xlnm._FilterDatabase, 2,FALSE)</f>
        <v>Development Environments cannot be exposed to the internet </v>
      </c>
      <c r="E19" s="127" t="s">
        <v>141</v>
      </c>
      <c r="F19" s="25" t="s">
        <v>81</v>
      </c>
      <c r="G19" s="25" t="s">
        <v>82</v>
      </c>
      <c r="H19" s="25" t="s">
        <v>83</v>
      </c>
      <c r="I19" s="79" t="s">
        <v>141</v>
      </c>
      <c r="J19" s="79"/>
      <c r="K19" s="80"/>
    </row>
    <row r="20" spans="1:11" ht="39" thickBot="1" x14ac:dyDescent="0.25">
      <c r="A20" s="162" t="s">
        <v>146</v>
      </c>
      <c r="B20" s="94" t="s">
        <v>147</v>
      </c>
      <c r="C20" s="154" t="s">
        <v>79</v>
      </c>
      <c r="D20" s="131" t="str">
        <f>VLOOKUP(A20,'Control Sheet'!_xlnm._FilterDatabase, 2,FALSE)</f>
        <v>UAT Environments should only be exposed to the internet if full production controls are in place </v>
      </c>
      <c r="E20" s="127" t="s">
        <v>141</v>
      </c>
      <c r="F20" s="25" t="s">
        <v>81</v>
      </c>
      <c r="G20" s="25" t="s">
        <v>82</v>
      </c>
      <c r="H20" s="25" t="s">
        <v>83</v>
      </c>
      <c r="I20" s="79" t="s">
        <v>141</v>
      </c>
      <c r="J20" s="79"/>
      <c r="K20" s="80"/>
    </row>
    <row r="21" spans="1:11" ht="64.5" thickBot="1" x14ac:dyDescent="0.25">
      <c r="A21" s="162" t="s">
        <v>148</v>
      </c>
      <c r="B21" s="94" t="s">
        <v>149</v>
      </c>
      <c r="C21" s="154" t="s">
        <v>79</v>
      </c>
      <c r="D21" s="131" t="str">
        <f>VLOOKUP(A21,'Control Sheet'!_xlnm._FilterDatabase, 2,FALSE)</f>
        <v>Non-Production environments will not have production data especially personally identifiable information without obfuscation or anonymization </v>
      </c>
      <c r="E21" s="127" t="s">
        <v>141</v>
      </c>
      <c r="F21" s="25" t="s">
        <v>81</v>
      </c>
      <c r="G21" s="25" t="s">
        <v>82</v>
      </c>
      <c r="H21" s="25" t="s">
        <v>83</v>
      </c>
      <c r="I21" s="79" t="s">
        <v>141</v>
      </c>
      <c r="J21" s="8"/>
    </row>
    <row r="22" spans="1:11" ht="39" thickBot="1" x14ac:dyDescent="0.25">
      <c r="A22" s="162" t="s">
        <v>77</v>
      </c>
      <c r="B22" s="24" t="s">
        <v>78</v>
      </c>
      <c r="C22" s="25" t="s">
        <v>79</v>
      </c>
      <c r="D22" s="131" t="str">
        <f>VLOOKUP(A22,'Control Sheet'!_xlnm._FilterDatabase, 2,FALSE)</f>
        <v>Enable disk encryption using NG approved tool and apply recommended settings</v>
      </c>
      <c r="E22" s="51" t="s">
        <v>80</v>
      </c>
      <c r="F22" s="25" t="s">
        <v>81</v>
      </c>
      <c r="G22" s="25" t="s">
        <v>82</v>
      </c>
      <c r="H22" s="25" t="s">
        <v>83</v>
      </c>
      <c r="I22" s="79" t="s">
        <v>84</v>
      </c>
      <c r="J22" s="79"/>
      <c r="K22" s="80"/>
    </row>
    <row r="23" spans="1:11" ht="64.5" thickBot="1" x14ac:dyDescent="0.25">
      <c r="A23" s="162" t="s">
        <v>150</v>
      </c>
      <c r="B23" s="26" t="s">
        <v>151</v>
      </c>
      <c r="C23" s="58" t="s">
        <v>87</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152</v>
      </c>
      <c r="F23" s="25" t="s">
        <v>81</v>
      </c>
      <c r="G23" s="25" t="s">
        <v>82</v>
      </c>
      <c r="H23" s="25" t="s">
        <v>83</v>
      </c>
      <c r="I23" s="79" t="s">
        <v>153</v>
      </c>
      <c r="J23" s="79"/>
      <c r="K23" s="80"/>
    </row>
    <row r="24" spans="1:11" ht="90" thickBot="1" x14ac:dyDescent="0.25">
      <c r="A24" s="162" t="s">
        <v>154</v>
      </c>
      <c r="B24" s="89" t="s">
        <v>155</v>
      </c>
      <c r="C24" s="25" t="s">
        <v>79</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152</v>
      </c>
      <c r="F24" s="25" t="s">
        <v>81</v>
      </c>
      <c r="G24" s="25" t="s">
        <v>82</v>
      </c>
      <c r="H24" s="25" t="s">
        <v>83</v>
      </c>
      <c r="I24" s="79" t="s">
        <v>153</v>
      </c>
      <c r="J24" s="79"/>
      <c r="K24" s="80"/>
    </row>
    <row r="25" spans="1:11" ht="12.95" customHeight="1" x14ac:dyDescent="0.2">
      <c r="D25" s="227" t="s">
        <v>108</v>
      </c>
      <c r="E25" s="26" t="s">
        <v>109</v>
      </c>
      <c r="F25" s="39">
        <f>COUNTIFS($F$5:$F$24,"Completed")</f>
        <v>0</v>
      </c>
      <c r="G25" s="39">
        <f>COUNTIFS($G$5:$G$24,"YES")</f>
        <v>0</v>
      </c>
      <c r="H25" s="106"/>
      <c r="J25" s="8"/>
    </row>
    <row r="26" spans="1:11" ht="12.95" customHeight="1" x14ac:dyDescent="0.2">
      <c r="D26" s="228"/>
      <c r="E26" s="26" t="s">
        <v>110</v>
      </c>
      <c r="F26" s="39">
        <f>COUNTIFS($F$5:$F$24,"Not started")</f>
        <v>18</v>
      </c>
      <c r="G26" s="39">
        <f>COUNTIFS($G$5:$G$24,"TBC")</f>
        <v>18</v>
      </c>
      <c r="H26" s="106"/>
      <c r="J26" s="8"/>
    </row>
    <row r="27" spans="1:11" ht="12.95" customHeight="1" x14ac:dyDescent="0.2">
      <c r="D27" s="228"/>
      <c r="E27" s="26" t="s">
        <v>99</v>
      </c>
      <c r="F27" s="39">
        <f>COUNTIFS($F$5:$F$24,"NOT APPLICABLE")</f>
        <v>2</v>
      </c>
      <c r="G27" s="39">
        <f>COUNTIFS($G$5:$G$24,"NOT APPLICABLE")</f>
        <v>2</v>
      </c>
      <c r="H27" s="106"/>
      <c r="J27" s="8"/>
    </row>
    <row r="28" spans="1:11" ht="12.95" customHeight="1" x14ac:dyDescent="0.2">
      <c r="D28" s="228"/>
      <c r="E28" s="26" t="s">
        <v>111</v>
      </c>
      <c r="F28" s="39">
        <f>COUNTIFS($F$5:$F$24,"IN PROGRESS")</f>
        <v>0</v>
      </c>
      <c r="G28" s="39">
        <f>COUNTIFS($G$5:$G$24,"IN PROGRESS")</f>
        <v>0</v>
      </c>
      <c r="H28" s="106"/>
      <c r="J28" s="8"/>
    </row>
    <row r="29" spans="1:11" ht="12.95" customHeight="1" x14ac:dyDescent="0.2">
      <c r="D29" s="228"/>
      <c r="E29" s="26" t="s">
        <v>112</v>
      </c>
      <c r="F29" s="97">
        <f>SUM(F25:F28)</f>
        <v>20</v>
      </c>
      <c r="G29" s="97">
        <f>SUM(G25:G28)</f>
        <v>20</v>
      </c>
      <c r="H29" s="106"/>
      <c r="J29" s="8"/>
    </row>
    <row r="30" spans="1:11" ht="12.75" x14ac:dyDescent="0.2">
      <c r="H30" s="106"/>
      <c r="J30" s="8"/>
    </row>
    <row r="31" spans="1:11" ht="12.75" x14ac:dyDescent="0.2">
      <c r="H31" s="106"/>
      <c r="J31" s="8"/>
    </row>
    <row r="32" spans="1:11" ht="12.75" x14ac:dyDescent="0.2">
      <c r="H32" s="106"/>
      <c r="J32" s="8"/>
    </row>
    <row r="33" spans="10:10" ht="12.75" x14ac:dyDescent="0.2">
      <c r="J33" s="8"/>
    </row>
    <row r="34" spans="10:10" ht="12.75" x14ac:dyDescent="0.2">
      <c r="J34" s="8"/>
    </row>
  </sheetData>
  <mergeCells count="3">
    <mergeCell ref="C1:D1"/>
    <mergeCell ref="D25:D29"/>
    <mergeCell ref="B2:K2"/>
  </mergeCells>
  <dataValidations count="1">
    <dataValidation showInputMessage="1" showErrorMessage="1" sqref="H25:H30" xr:uid="{F19A8216-7024-4807-A1B6-778EA6331D9C}"/>
  </dataValidations>
  <hyperlinks>
    <hyperlink ref="J4" r:id="rId1" xr:uid="{339A3F26-8F54-4DA3-AC77-2C76A4A37194}"/>
    <hyperlink ref="A22" r:id="rId2" xr:uid="{2713B6C9-A930-42E1-BEAD-6E2AC48E6571}"/>
    <hyperlink ref="A12" r:id="rId3" xr:uid="{9AD1AFBE-E5F5-44E3-AE3E-3091C27319F6}"/>
    <hyperlink ref="A13" r:id="rId4" xr:uid="{830282CE-18AB-4682-B82C-962A84021ABB}"/>
    <hyperlink ref="A14" r:id="rId5" xr:uid="{4547D89C-55CE-4999-9042-E8C1732C2143}"/>
    <hyperlink ref="A9" r:id="rId6" xr:uid="{A2A751C2-43DF-4835-AB19-BB643C31B830}"/>
    <hyperlink ref="A5" r:id="rId7" xr:uid="{36221747-0961-44ED-BC3E-B4A5D5803A32}"/>
    <hyperlink ref="A6" r:id="rId8" xr:uid="{7ACCE0E1-664F-4F9B-9319-736C6CAC5C14}"/>
    <hyperlink ref="A7" r:id="rId9" xr:uid="{0DF62B65-CAB2-4CC2-83FE-866FBB1FE9BE}"/>
    <hyperlink ref="A8" r:id="rId10" xr:uid="{DEB1B45A-91C3-4437-9D91-B793205149A8}"/>
    <hyperlink ref="A10" r:id="rId11" xr:uid="{2DD7EB3E-8B70-4E10-8911-C2BDA36575C0}"/>
    <hyperlink ref="A11" r:id="rId12" xr:uid="{DE311995-16B8-4C6C-8DF2-3F0C7A3DD8BA}"/>
    <hyperlink ref="A18" r:id="rId13" display="BSR-ENV-1.1 " xr:uid="{C579A338-EFF8-4035-8628-BDCB2F77F8DB}"/>
    <hyperlink ref="A19" r:id="rId14" display="BSR-ENV-1.2 " xr:uid="{D1FCE929-BE8A-49F9-86C9-CDBCFB19351A}"/>
    <hyperlink ref="A20" r:id="rId15" display="BSR-ENV-1.3 " xr:uid="{4723F3BC-AE27-4051-A35F-68E2BD1FCBDC}"/>
    <hyperlink ref="A21" r:id="rId16" display="BSR-ENV-1.4 " xr:uid="{063106DF-3308-4E93-96F3-F0BCAE60A13D}"/>
    <hyperlink ref="A16" r:id="rId17" xr:uid="{7F8E2BB7-C226-415D-9F4E-1686B9883DB0}"/>
    <hyperlink ref="A15" r:id="rId18" xr:uid="{090FF0C7-8B4E-4956-AC58-CD3A8A205274}"/>
    <hyperlink ref="A23" r:id="rId19" xr:uid="{0A9E556F-54A7-4A1F-9631-8B6E22CC4D42}"/>
    <hyperlink ref="A24" r:id="rId20" xr:uid="{45903A4E-2631-4431-946D-3C55AC3F783E}"/>
    <hyperlink ref="A17" r:id="rId21" xr:uid="{72A7FD33-EF55-458E-9D8F-9F9CBE923C06}"/>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11">
        <x14:dataValidation type="list" showInputMessage="1" showErrorMessage="1" xr:uid="{54507238-CB9E-4B6E-8D4F-556A69925B0F}">
          <x14:formula1>
            <xm:f>Variables!$L$2:$L$4</xm:f>
          </x14:formula1>
          <xm:sqref>H5:H16</xm:sqref>
        </x14:dataValidation>
        <x14:dataValidation type="list" showInputMessage="1" showErrorMessage="1" xr:uid="{75B76290-DE91-48D3-8170-34227777FC93}">
          <x14:formula1>
            <xm:f>Variables!$A$2:$A$4</xm:f>
          </x14:formula1>
          <xm:sqref>C5:C16</xm:sqref>
        </x14:dataValidation>
        <x14:dataValidation type="list" showInputMessage="1" showErrorMessage="1" xr:uid="{B2F71D5F-5E69-443E-A0F5-6D5BEC8E0188}">
          <x14:formula1>
            <xm:f>Variables!$I$2:$I$5</xm:f>
          </x14:formula1>
          <xm:sqref>F5:F16</xm:sqref>
        </x14:dataValidation>
        <x14:dataValidation type="list" showInputMessage="1" showErrorMessage="1" xr:uid="{226049FE-B381-4A7C-8EBA-F719E61CF440}">
          <x14:formula1>
            <xm:f>Variables!$J$2:$J$5</xm:f>
          </x14:formula1>
          <xm:sqref>G5:G16</xm:sqref>
        </x14:dataValidation>
        <x14:dataValidation type="list" allowBlank="1" showInputMessage="1" showErrorMessage="1" xr:uid="{8FC30E05-F34D-48BD-AF62-B3986BEB23B9}">
          <x14:formula1>
            <xm:f>Variables!$L$2:$L$4</xm:f>
          </x14:formula1>
          <xm:sqref>H17:H21</xm:sqref>
        </x14:dataValidation>
        <x14:dataValidation type="list" allowBlank="1" showInputMessage="1" showErrorMessage="1" xr:uid="{1E4E5361-3AED-4895-B1E4-F2410CD1A84F}">
          <x14:formula1>
            <xm:f>Variables!$J$2:$J$5</xm:f>
          </x14:formula1>
          <xm:sqref>G17:G21</xm:sqref>
        </x14:dataValidation>
        <x14:dataValidation type="list" allowBlank="1" showInputMessage="1" showErrorMessage="1" xr:uid="{A965C998-F43E-4B4F-8F2D-64993C1B57E5}">
          <x14:formula1>
            <xm:f>Variables!$I$2:$I$5</xm:f>
          </x14:formula1>
          <xm:sqref>F17:F24</xm:sqref>
        </x14:dataValidation>
        <x14:dataValidation type="list" allowBlank="1" showInputMessage="1" showErrorMessage="1" xr:uid="{11DC829F-3750-438F-8CC8-5E768F110BFC}">
          <x14:formula1>
            <xm:f>Variables!$A$2:$A$4</xm:f>
          </x14:formula1>
          <xm:sqref>C17:C21</xm:sqref>
        </x14:dataValidation>
        <x14:dataValidation type="list" showInputMessage="1" showErrorMessage="1" xr:uid="{4F287B26-196D-42E9-9A79-667C13BFF7AA}">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95B76FC4-6476-4F3A-A372-E706FA1B9074}">
          <x14:formula1>
            <xm:f>Variables!#REF!</xm:f>
          </x14:formula1>
          <xm:sqref>C22:C23 G23:H23</xm:sqref>
        </x14:dataValidation>
        <x14:dataValidation type="list" showInputMessage="1" showErrorMessage="1" xr:uid="{73F2751B-5047-43E7-BED2-C647CF979A8E}">
          <x14:formula1>
            <xm:f>Variables!#REF!</xm:f>
          </x14:formula1>
          <xm:sqref>G24:H24 G22:H22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78A22F"/>
  </sheetPr>
  <dimension ref="A1:K34"/>
  <sheetViews>
    <sheetView showGridLines="0" topLeftCell="A16" zoomScaleNormal="100" workbookViewId="0">
      <selection activeCell="A20" sqref="A20"/>
    </sheetView>
  </sheetViews>
  <sheetFormatPr defaultColWidth="9.140625" defaultRowHeight="28.5" customHeight="1" x14ac:dyDescent="0.25"/>
  <cols>
    <col min="1" max="1" width="11.42578125" style="157" customWidth="1"/>
    <col min="2" max="2" width="17.5703125" style="8" customWidth="1"/>
    <col min="3" max="3" width="18.5703125" style="8" customWidth="1"/>
    <col min="4" max="4" width="33.5703125" style="8" customWidth="1"/>
    <col min="5" max="5" width="18.5703125" style="8" customWidth="1"/>
    <col min="6" max="6" width="17" style="8" bestFit="1" customWidth="1"/>
    <col min="7" max="8" width="24.140625" style="8" customWidth="1"/>
    <col min="9" max="9" width="34.5703125" style="8" bestFit="1" customWidth="1"/>
    <col min="10" max="10" width="26.5703125" style="93" customWidth="1"/>
    <col min="11" max="11" width="35.5703125" style="8" customWidth="1"/>
    <col min="12" max="16384" width="9.140625" style="8"/>
  </cols>
  <sheetData>
    <row r="1" spans="1:11" ht="12.75" x14ac:dyDescent="0.2">
      <c r="C1" s="226"/>
      <c r="D1" s="226"/>
      <c r="E1" s="173"/>
      <c r="F1" s="9"/>
      <c r="G1" s="9"/>
      <c r="H1" s="9"/>
      <c r="J1" s="8"/>
    </row>
    <row r="2" spans="1:11" ht="18" x14ac:dyDescent="0.25">
      <c r="B2" s="225" t="s">
        <v>156</v>
      </c>
      <c r="C2" s="225"/>
      <c r="D2" s="225"/>
      <c r="E2" s="225"/>
      <c r="F2" s="225"/>
      <c r="G2" s="225"/>
      <c r="H2" s="225"/>
      <c r="I2" s="225"/>
      <c r="J2" s="225"/>
      <c r="K2" s="225"/>
    </row>
    <row r="3" spans="1:11" ht="12.75" x14ac:dyDescent="0.2">
      <c r="J3" s="8"/>
    </row>
    <row r="4" spans="1:1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ht="64.5" thickBot="1" x14ac:dyDescent="0.25">
      <c r="A5" s="162" t="s">
        <v>114</v>
      </c>
      <c r="B5" s="24" t="s">
        <v>115</v>
      </c>
      <c r="C5" s="58" t="s">
        <v>87</v>
      </c>
      <c r="D5" s="131" t="str">
        <f>VLOOKUP(A5,'Control Sheet'!_xlnm._FilterDatabase, 2,FALSE)</f>
        <v>Perform a monthly vulnerability scan. 
Remediate severity 4 and 5 vulnerabilities within two days of discovery and severity 3 vulnerabilities within seven days (TBC).</v>
      </c>
      <c r="E5" s="51" t="s">
        <v>116</v>
      </c>
      <c r="F5" s="25" t="s">
        <v>81</v>
      </c>
      <c r="G5" s="25" t="s">
        <v>82</v>
      </c>
      <c r="H5" s="25" t="s">
        <v>83</v>
      </c>
      <c r="I5" s="79" t="s">
        <v>95</v>
      </c>
      <c r="J5" s="79"/>
      <c r="K5" s="80"/>
    </row>
    <row r="6" spans="1:11" ht="39" thickBot="1" x14ac:dyDescent="0.25">
      <c r="A6" s="162" t="s">
        <v>117</v>
      </c>
      <c r="B6" s="24" t="s">
        <v>118</v>
      </c>
      <c r="C6" s="58" t="s">
        <v>79</v>
      </c>
      <c r="D6" s="131" t="str">
        <f>VLOOKUP(A6,'Control Sheet'!_xlnm._FilterDatabase, 2,FALSE)</f>
        <v>Enable host-based firewall in default deny mode and permit the Baseline necessary services.</v>
      </c>
      <c r="E6" s="51" t="s">
        <v>119</v>
      </c>
      <c r="F6" s="25" t="s">
        <v>81</v>
      </c>
      <c r="G6" s="25" t="s">
        <v>82</v>
      </c>
      <c r="H6" s="25" t="s">
        <v>83</v>
      </c>
      <c r="I6" s="79" t="s">
        <v>157</v>
      </c>
      <c r="J6" s="79"/>
      <c r="K6" s="80"/>
    </row>
    <row r="7" spans="1:11" ht="102.75" thickBot="1" x14ac:dyDescent="0.25">
      <c r="A7" s="162" t="s">
        <v>121</v>
      </c>
      <c r="B7" s="24" t="s">
        <v>122</v>
      </c>
      <c r="C7" s="58"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51.75" thickBot="1" x14ac:dyDescent="0.25">
      <c r="A8" s="162" t="s">
        <v>158</v>
      </c>
      <c r="B8" s="26" t="s">
        <v>159</v>
      </c>
      <c r="C8" s="58" t="s">
        <v>79</v>
      </c>
      <c r="D8" s="131" t="str">
        <f>VLOOKUP(A8,'Control Sheet'!_xlnm._FilterDatabase, 2,FALSE)</f>
        <v>Define and document roles and responsibilities.  Ensure separation of duties.</v>
      </c>
      <c r="E8" s="56" t="s">
        <v>160</v>
      </c>
      <c r="F8" s="25" t="s">
        <v>81</v>
      </c>
      <c r="G8" s="25" t="s">
        <v>82</v>
      </c>
      <c r="H8" s="25" t="s">
        <v>83</v>
      </c>
      <c r="I8" s="79" t="s">
        <v>103</v>
      </c>
      <c r="J8" s="79"/>
      <c r="K8" s="80"/>
    </row>
    <row r="9" spans="1:11" ht="39" thickBot="1" x14ac:dyDescent="0.25">
      <c r="A9" s="162" t="s">
        <v>161</v>
      </c>
      <c r="B9" s="26" t="s">
        <v>162</v>
      </c>
      <c r="C9" s="58" t="s">
        <v>79</v>
      </c>
      <c r="D9" s="131" t="str">
        <f>VLOOKUP(A9,'Control Sheet'!_xlnm._FilterDatabase, 2,FALSE)</f>
        <v>Require multi-factor authentication for all interactive application logins off-network</v>
      </c>
      <c r="E9" s="56" t="s">
        <v>163</v>
      </c>
      <c r="F9" s="25" t="s">
        <v>81</v>
      </c>
      <c r="G9" s="25" t="s">
        <v>82</v>
      </c>
      <c r="H9" s="25" t="s">
        <v>83</v>
      </c>
      <c r="I9" s="79" t="s">
        <v>103</v>
      </c>
      <c r="J9" s="79"/>
      <c r="K9" s="80"/>
    </row>
    <row r="10" spans="1:11" ht="26.25" thickBot="1" x14ac:dyDescent="0.25">
      <c r="A10" s="162" t="s">
        <v>124</v>
      </c>
      <c r="B10" s="26" t="s">
        <v>125</v>
      </c>
      <c r="C10" s="67" t="s">
        <v>98</v>
      </c>
      <c r="D10" s="67" t="s">
        <v>99</v>
      </c>
      <c r="E10" s="67" t="s">
        <v>98</v>
      </c>
      <c r="F10" s="67" t="s">
        <v>99</v>
      </c>
      <c r="G10" s="67" t="s">
        <v>99</v>
      </c>
      <c r="H10" s="67" t="s">
        <v>98</v>
      </c>
      <c r="I10" s="67" t="s">
        <v>98</v>
      </c>
      <c r="J10" s="79"/>
      <c r="K10" s="80"/>
    </row>
    <row r="11" spans="1:11" ht="64.5" thickBot="1" x14ac:dyDescent="0.25">
      <c r="A11" s="162" t="s">
        <v>164</v>
      </c>
      <c r="B11" s="26" t="s">
        <v>165</v>
      </c>
      <c r="C11" s="58" t="s">
        <v>79</v>
      </c>
      <c r="D11" s="131" t="str">
        <f>VLOOKUP(A11,'Control Sheet'!_xlnm._FilterDatabase, 2,FALSE)</f>
        <v>Include security as a design requirement. Review all code and correctly identified security flaws prior to deployment. Use of static code analysis tools recommended.</v>
      </c>
      <c r="E11" s="51" t="s">
        <v>166</v>
      </c>
      <c r="F11" s="25" t="s">
        <v>81</v>
      </c>
      <c r="G11" s="25" t="s">
        <v>82</v>
      </c>
      <c r="H11" s="25" t="s">
        <v>83</v>
      </c>
      <c r="I11" s="79" t="s">
        <v>95</v>
      </c>
      <c r="J11" s="79"/>
      <c r="K11" s="80"/>
    </row>
    <row r="12" spans="1:11" ht="26.25" thickBot="1" x14ac:dyDescent="0.25">
      <c r="A12" s="162" t="s">
        <v>133</v>
      </c>
      <c r="B12" s="26" t="s">
        <v>134</v>
      </c>
      <c r="C12" s="67" t="s">
        <v>98</v>
      </c>
      <c r="D12" s="67" t="s">
        <v>99</v>
      </c>
      <c r="E12" s="67" t="s">
        <v>98</v>
      </c>
      <c r="F12" s="67" t="s">
        <v>99</v>
      </c>
      <c r="G12" s="67" t="s">
        <v>99</v>
      </c>
      <c r="H12" s="67" t="s">
        <v>98</v>
      </c>
      <c r="I12" s="67" t="s">
        <v>98</v>
      </c>
      <c r="J12" s="79"/>
      <c r="K12" s="80"/>
    </row>
    <row r="13" spans="1:11" ht="179.25" thickBot="1" x14ac:dyDescent="0.25">
      <c r="A13" s="162" t="s">
        <v>89</v>
      </c>
      <c r="B13" s="26" t="s">
        <v>167</v>
      </c>
      <c r="C13" s="58"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91</v>
      </c>
      <c r="F13" s="25" t="s">
        <v>81</v>
      </c>
      <c r="G13" s="25" t="s">
        <v>82</v>
      </c>
      <c r="H13" s="25" t="s">
        <v>83</v>
      </c>
      <c r="I13" s="79" t="s">
        <v>120</v>
      </c>
      <c r="J13" s="79"/>
      <c r="K13" s="80"/>
    </row>
    <row r="14" spans="1:11" ht="26.25" thickBot="1" x14ac:dyDescent="0.25">
      <c r="A14" s="162" t="s">
        <v>168</v>
      </c>
      <c r="B14" s="26" t="s">
        <v>169</v>
      </c>
      <c r="C14" s="67" t="s">
        <v>98</v>
      </c>
      <c r="D14" s="67" t="s">
        <v>99</v>
      </c>
      <c r="E14" s="67" t="s">
        <v>98</v>
      </c>
      <c r="F14" s="67" t="s">
        <v>99</v>
      </c>
      <c r="G14" s="67" t="s">
        <v>99</v>
      </c>
      <c r="H14" s="67" t="s">
        <v>99</v>
      </c>
      <c r="I14" s="67" t="s">
        <v>98</v>
      </c>
      <c r="J14" s="79"/>
      <c r="K14" s="80"/>
    </row>
    <row r="15" spans="1:11" ht="128.25" thickBot="1" x14ac:dyDescent="0.25">
      <c r="A15" s="162" t="s">
        <v>96</v>
      </c>
      <c r="B15" s="26" t="s">
        <v>97</v>
      </c>
      <c r="C15" s="58" t="s">
        <v>79</v>
      </c>
      <c r="D15" s="131" t="str">
        <f>VLOOKUP(A15,'Control Sheet'!_xlnm._FilterDatabase, 2,FALSE)</f>
        <v>Follow all regulatory data controls as applicable (NIST 800-171, PCI DSS, GDPR, etc.).</v>
      </c>
      <c r="E15" s="56" t="s">
        <v>170</v>
      </c>
      <c r="F15" s="25" t="s">
        <v>81</v>
      </c>
      <c r="G15" s="25" t="s">
        <v>82</v>
      </c>
      <c r="H15" s="25" t="s">
        <v>83</v>
      </c>
      <c r="I15" s="79" t="s">
        <v>171</v>
      </c>
      <c r="J15" s="79"/>
      <c r="K15" s="80"/>
    </row>
    <row r="16" spans="1:11" ht="64.5" thickBot="1" x14ac:dyDescent="0.25">
      <c r="A16" s="162" t="s">
        <v>150</v>
      </c>
      <c r="B16" s="26" t="s">
        <v>151</v>
      </c>
      <c r="C16" s="58" t="s">
        <v>87</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152</v>
      </c>
      <c r="F16" s="25" t="s">
        <v>81</v>
      </c>
      <c r="G16" s="25" t="s">
        <v>82</v>
      </c>
      <c r="H16" s="25" t="s">
        <v>83</v>
      </c>
      <c r="I16" s="79" t="s">
        <v>153</v>
      </c>
      <c r="J16" s="79"/>
      <c r="K16" s="80"/>
    </row>
    <row r="17" spans="1:11" ht="90" thickBot="1" x14ac:dyDescent="0.25">
      <c r="A17" s="162" t="s">
        <v>172</v>
      </c>
      <c r="B17" s="26" t="s">
        <v>173</v>
      </c>
      <c r="C17" s="58" t="s">
        <v>79</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174</v>
      </c>
      <c r="F17" s="25" t="s">
        <v>81</v>
      </c>
      <c r="G17" s="25" t="s">
        <v>82</v>
      </c>
      <c r="H17" s="25" t="s">
        <v>83</v>
      </c>
      <c r="I17" s="79" t="s">
        <v>103</v>
      </c>
      <c r="J17" s="79"/>
      <c r="K17" s="80"/>
    </row>
    <row r="18" spans="1:11" ht="77.25" thickBot="1" x14ac:dyDescent="0.25">
      <c r="A18" s="162" t="s">
        <v>136</v>
      </c>
      <c r="B18" s="26" t="s">
        <v>175</v>
      </c>
      <c r="C18" s="58" t="s">
        <v>79</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56" t="s">
        <v>138</v>
      </c>
      <c r="F18" s="25" t="s">
        <v>81</v>
      </c>
      <c r="G18" s="25" t="s">
        <v>82</v>
      </c>
      <c r="H18" s="25" t="s">
        <v>83</v>
      </c>
      <c r="I18" s="79" t="s">
        <v>95</v>
      </c>
      <c r="J18" s="79"/>
      <c r="K18" s="80"/>
    </row>
    <row r="19" spans="1:11" ht="77.25" thickBot="1" x14ac:dyDescent="0.25">
      <c r="A19" s="162" t="s">
        <v>176</v>
      </c>
      <c r="B19" s="26" t="s">
        <v>177</v>
      </c>
      <c r="C19" s="58" t="s">
        <v>79</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178</v>
      </c>
      <c r="F19" s="25" t="s">
        <v>81</v>
      </c>
      <c r="G19" s="25" t="s">
        <v>82</v>
      </c>
      <c r="H19" s="25" t="s">
        <v>83</v>
      </c>
      <c r="I19" s="79" t="s">
        <v>103</v>
      </c>
      <c r="J19" s="79"/>
      <c r="K19" s="80"/>
    </row>
    <row r="20" spans="1:11" ht="51.75" thickBot="1" x14ac:dyDescent="0.25">
      <c r="A20" s="162" t="s">
        <v>179</v>
      </c>
      <c r="B20" s="26" t="s">
        <v>180</v>
      </c>
      <c r="C20" s="58" t="s">
        <v>79</v>
      </c>
      <c r="D20" s="131" t="str">
        <f>VLOOKUP(A20,'Control Sheet'!_xlnm._FilterDatabase, 2,FALSE)</f>
        <v>All vendors providing SCADA-like application must provide an SDLA-312 certification</v>
      </c>
      <c r="E20" s="51" t="s">
        <v>181</v>
      </c>
      <c r="F20" s="25" t="s">
        <v>81</v>
      </c>
      <c r="G20" s="25" t="s">
        <v>82</v>
      </c>
      <c r="H20" s="25" t="s">
        <v>83</v>
      </c>
      <c r="I20" s="79" t="s">
        <v>171</v>
      </c>
      <c r="J20" s="79"/>
      <c r="K20" s="80"/>
    </row>
    <row r="21" spans="1:11" ht="30.75" thickBot="1" x14ac:dyDescent="0.25">
      <c r="A21" s="162" t="s">
        <v>142</v>
      </c>
      <c r="B21" s="94" t="s">
        <v>143</v>
      </c>
      <c r="C21" s="153" t="s">
        <v>79</v>
      </c>
      <c r="D21" s="131" t="str">
        <f>VLOOKUP(A21,'Control Sheet'!_xlnm._FilterDatabase, 2,FALSE)</f>
        <v>Production, and non-production environments should be segregated </v>
      </c>
      <c r="E21" s="127" t="s">
        <v>141</v>
      </c>
      <c r="F21" s="25" t="s">
        <v>81</v>
      </c>
      <c r="G21" s="25" t="s">
        <v>82</v>
      </c>
      <c r="H21" s="25" t="s">
        <v>83</v>
      </c>
      <c r="I21" s="79" t="s">
        <v>141</v>
      </c>
      <c r="J21" s="79"/>
      <c r="K21" s="80"/>
    </row>
    <row r="22" spans="1:11" ht="30.75" thickBot="1" x14ac:dyDescent="0.25">
      <c r="A22" s="162" t="s">
        <v>144</v>
      </c>
      <c r="B22" s="94" t="s">
        <v>145</v>
      </c>
      <c r="C22" s="154" t="s">
        <v>79</v>
      </c>
      <c r="D22" s="131" t="str">
        <f>VLOOKUP(A22,'Control Sheet'!_xlnm._FilterDatabase, 2,FALSE)</f>
        <v>Development Environments cannot be exposed to the internet </v>
      </c>
      <c r="E22" s="127" t="s">
        <v>141</v>
      </c>
      <c r="F22" s="25" t="s">
        <v>81</v>
      </c>
      <c r="G22" s="25" t="s">
        <v>82</v>
      </c>
      <c r="H22" s="25" t="s">
        <v>83</v>
      </c>
      <c r="I22" s="79" t="s">
        <v>141</v>
      </c>
      <c r="J22" s="79"/>
      <c r="K22" s="80"/>
    </row>
    <row r="23" spans="1:11" ht="39" thickBot="1" x14ac:dyDescent="0.25">
      <c r="A23" s="162" t="s">
        <v>146</v>
      </c>
      <c r="B23" s="94" t="s">
        <v>147</v>
      </c>
      <c r="C23" s="154" t="s">
        <v>79</v>
      </c>
      <c r="D23" s="131" t="str">
        <f>VLOOKUP(A23,'Control Sheet'!_xlnm._FilterDatabase, 2,FALSE)</f>
        <v>UAT Environments should only be exposed to the internet if full production controls are in place </v>
      </c>
      <c r="E23" s="127" t="s">
        <v>141</v>
      </c>
      <c r="F23" s="25" t="s">
        <v>81</v>
      </c>
      <c r="G23" s="25" t="s">
        <v>82</v>
      </c>
      <c r="H23" s="25" t="s">
        <v>83</v>
      </c>
      <c r="I23" s="79" t="s">
        <v>141</v>
      </c>
      <c r="J23" s="79"/>
      <c r="K23" s="80"/>
    </row>
    <row r="24" spans="1:11" ht="64.5" thickBot="1" x14ac:dyDescent="0.25">
      <c r="A24" s="162" t="s">
        <v>148</v>
      </c>
      <c r="B24" s="94" t="s">
        <v>149</v>
      </c>
      <c r="C24" s="154" t="s">
        <v>79</v>
      </c>
      <c r="D24" s="131" t="str">
        <f>VLOOKUP(A24,'Control Sheet'!_xlnm._FilterDatabase, 2,FALSE)</f>
        <v>Non-Production environments will not have production data especially personally identifiable information without obfuscation or anonymization </v>
      </c>
      <c r="E24" s="127" t="s">
        <v>141</v>
      </c>
      <c r="F24" s="25" t="s">
        <v>81</v>
      </c>
      <c r="G24" s="25" t="s">
        <v>82</v>
      </c>
      <c r="H24" s="25" t="s">
        <v>83</v>
      </c>
      <c r="I24" s="79" t="s">
        <v>141</v>
      </c>
      <c r="J24" s="8"/>
    </row>
    <row r="25" spans="1:11" ht="90" thickBot="1" x14ac:dyDescent="0.25">
      <c r="A25" s="168" t="s">
        <v>154</v>
      </c>
      <c r="B25" s="89" t="s">
        <v>155</v>
      </c>
      <c r="C25" s="25" t="s">
        <v>79</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152</v>
      </c>
      <c r="F25" s="25" t="s">
        <v>81</v>
      </c>
      <c r="G25" s="25" t="s">
        <v>82</v>
      </c>
      <c r="H25" s="25" t="s">
        <v>83</v>
      </c>
      <c r="I25" s="79" t="s">
        <v>153</v>
      </c>
      <c r="J25" s="79"/>
      <c r="K25" s="80"/>
    </row>
    <row r="26" spans="1:11" ht="25.5" x14ac:dyDescent="0.2">
      <c r="A26" s="39"/>
      <c r="B26" s="26" t="s">
        <v>107</v>
      </c>
      <c r="C26" s="25"/>
      <c r="D26" s="29"/>
      <c r="E26" s="28"/>
      <c r="F26" s="25"/>
      <c r="G26" s="25"/>
      <c r="H26" s="25"/>
      <c r="I26" s="27"/>
      <c r="J26" s="79"/>
      <c r="K26" s="80"/>
    </row>
    <row r="27" spans="1:11" ht="25.5" x14ac:dyDescent="0.2">
      <c r="A27" s="39"/>
      <c r="B27" s="26" t="s">
        <v>107</v>
      </c>
      <c r="C27" s="25"/>
      <c r="D27" s="29"/>
      <c r="E27" s="28"/>
      <c r="F27" s="25"/>
      <c r="G27" s="25"/>
      <c r="H27" s="25"/>
      <c r="I27" s="27"/>
      <c r="J27" s="79"/>
      <c r="K27" s="80"/>
    </row>
    <row r="28" spans="1:11" ht="25.5" x14ac:dyDescent="0.2">
      <c r="A28" s="39"/>
      <c r="B28" s="26" t="s">
        <v>107</v>
      </c>
      <c r="C28" s="25"/>
      <c r="D28" s="29"/>
      <c r="E28" s="28"/>
      <c r="F28" s="25"/>
      <c r="G28" s="25"/>
      <c r="H28" s="25"/>
      <c r="I28" s="27"/>
      <c r="J28" s="79"/>
      <c r="K28" s="80"/>
    </row>
    <row r="29" spans="1:11" ht="12.95" customHeight="1" x14ac:dyDescent="0.2">
      <c r="B29" s="10"/>
      <c r="C29" s="11"/>
      <c r="D29" s="227" t="s">
        <v>182</v>
      </c>
      <c r="E29" s="26" t="s">
        <v>109</v>
      </c>
      <c r="F29" s="95">
        <f>COUNTIFS($F$5:$F$28,"COMPLETED")</f>
        <v>0</v>
      </c>
      <c r="G29" s="42">
        <f>COUNTIFS($G$5:$G$28,"yes")</f>
        <v>0</v>
      </c>
      <c r="H29" s="106"/>
      <c r="J29" s="8"/>
    </row>
    <row r="30" spans="1:11" ht="12.95" customHeight="1" x14ac:dyDescent="0.2">
      <c r="D30" s="228"/>
      <c r="E30" s="26" t="s">
        <v>110</v>
      </c>
      <c r="F30" s="95">
        <f>COUNTIFS($F$5:$F$28,"not started")</f>
        <v>18</v>
      </c>
      <c r="G30" s="42">
        <f>COUNTIFS($G$5:$G$28,"TBC")</f>
        <v>18</v>
      </c>
      <c r="H30" s="106"/>
      <c r="J30" s="8"/>
    </row>
    <row r="31" spans="1:11" ht="12.95" customHeight="1" x14ac:dyDescent="0.2">
      <c r="D31" s="228"/>
      <c r="E31" s="26" t="s">
        <v>99</v>
      </c>
      <c r="F31" s="95">
        <f>COUNTIFS($F$5:$F$28,"not applicable")</f>
        <v>3</v>
      </c>
      <c r="G31" s="42">
        <f>COUNTIFS($G$5:$G$28,"not applicable")</f>
        <v>3</v>
      </c>
      <c r="H31" s="106"/>
      <c r="J31" s="8"/>
    </row>
    <row r="32" spans="1:11" ht="12.95" customHeight="1" x14ac:dyDescent="0.2">
      <c r="D32" s="228"/>
      <c r="E32" s="26" t="s">
        <v>111</v>
      </c>
      <c r="F32" s="95">
        <f>COUNTIFS($F$5:$F$28,"in progress")</f>
        <v>0</v>
      </c>
      <c r="G32" s="42">
        <f>COUNTIFS($G$5:$G$28,"in progress")</f>
        <v>0</v>
      </c>
      <c r="H32" s="106"/>
      <c r="J32" s="8"/>
    </row>
    <row r="33" spans="4:10" ht="12.95" customHeight="1" x14ac:dyDescent="0.2">
      <c r="D33" s="229"/>
      <c r="E33" s="26" t="s">
        <v>112</v>
      </c>
      <c r="F33" s="54">
        <f>SUM(F29:F32)</f>
        <v>21</v>
      </c>
      <c r="G33" s="25">
        <f>SUM(G29:G32)</f>
        <v>21</v>
      </c>
      <c r="J33" s="8"/>
    </row>
    <row r="34" spans="4:10" ht="28.5" customHeight="1" x14ac:dyDescent="0.2">
      <c r="J34" s="8"/>
    </row>
  </sheetData>
  <mergeCells count="3">
    <mergeCell ref="D29:D33"/>
    <mergeCell ref="C1:D1"/>
    <mergeCell ref="B2:K2"/>
  </mergeCells>
  <hyperlinks>
    <hyperlink ref="J4" r:id="rId1" xr:uid="{8089BC9B-A270-4A4F-932A-ACC8DBCC2FE8}"/>
    <hyperlink ref="A13" r:id="rId2" xr:uid="{793D8CE5-61BF-4EB9-9DF6-649F54CD97CF}"/>
    <hyperlink ref="A15" r:id="rId3" xr:uid="{1820A142-0B88-4788-A5A9-9365C14F7652}"/>
    <hyperlink ref="A5" r:id="rId4" xr:uid="{15C49615-1731-4935-9E6E-9DBBE2F6F745}"/>
    <hyperlink ref="A6" r:id="rId5" xr:uid="{647497D6-D732-42EE-A7F6-450A547D6236}"/>
    <hyperlink ref="A7" r:id="rId6" xr:uid="{29027A21-290D-4590-B3D6-2532B9B6167C}"/>
    <hyperlink ref="A10" r:id="rId7" xr:uid="{B172207E-387B-43E5-B88D-2B92027D6256}"/>
    <hyperlink ref="A12" r:id="rId8" xr:uid="{57F95E50-E640-4BF6-8806-909051E8D5AA}"/>
    <hyperlink ref="A21" r:id="rId9" display="BSR-ENV-1.1 " xr:uid="{3A529AA0-F7D0-430E-A3A9-0278D91B61AF}"/>
    <hyperlink ref="A22" r:id="rId10" display="BSR-ENV-1.2 " xr:uid="{48D7D924-8E61-4977-A595-549AA2922228}"/>
    <hyperlink ref="A23" r:id="rId11" display="BSR-ENV-1.3 " xr:uid="{D8D33604-BE90-4763-A1B0-AD19F8C37F2D}"/>
    <hyperlink ref="A24" r:id="rId12" display="BSR-ENV-1.4 " xr:uid="{67C037D1-1CE6-4F41-A802-828D00BBAE70}"/>
    <hyperlink ref="A9" r:id="rId13" xr:uid="{30779341-BF6D-4AEA-A289-C08195481080}"/>
    <hyperlink ref="A18" r:id="rId14" xr:uid="{F7AA7A88-1226-44A7-A23C-FCDF31220643}"/>
    <hyperlink ref="A11" r:id="rId15" xr:uid="{A55BAA88-57AB-488A-B60B-0F2EB5569749}"/>
    <hyperlink ref="A14" r:id="rId16" xr:uid="{ACA5A715-0AF8-4322-999F-1DB933C5278B}"/>
    <hyperlink ref="A16" r:id="rId17" xr:uid="{F58ABF46-3380-45E6-8D8C-72DC8D85BA16}"/>
    <hyperlink ref="A25" r:id="rId18" xr:uid="{E38F87D0-89FA-44DA-AA89-8BD70A21B125}"/>
    <hyperlink ref="A8" r:id="rId19" xr:uid="{22D58713-C5F6-48B9-ABF5-28E1DCAB7C78}"/>
    <hyperlink ref="A17" r:id="rId20" xr:uid="{03E14503-F88D-4B7E-976D-151CB2DA23BA}"/>
    <hyperlink ref="A19" r:id="rId21" xr:uid="{2934A349-AF78-4307-A636-2AC2C1A08B47}"/>
    <hyperlink ref="A20" r:id="rId22" xr:uid="{88899A90-B288-4383-9D87-144D1B926EFD}"/>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10">
        <x14:dataValidation type="list" showInputMessage="1" showErrorMessage="1" xr:uid="{745F7867-6397-424D-8639-E85CA5E5A18C}">
          <x14:formula1>
            <xm:f>Variables!$I$2:$I$5</xm:f>
          </x14:formula1>
          <xm:sqref>F26:F28 F5:F15 F17:F20</xm:sqref>
        </x14:dataValidation>
        <x14:dataValidation type="list" showInputMessage="1" showErrorMessage="1" xr:uid="{BA77DF0F-ECAA-4DAE-95BF-9F7293119D02}">
          <x14:formula1>
            <xm:f>Variables!$J$2:$J$5</xm:f>
          </x14:formula1>
          <xm:sqref>G26:G28 G5:G15 G17:G20</xm:sqref>
        </x14:dataValidation>
        <x14:dataValidation type="list" showInputMessage="1" showErrorMessage="1" xr:uid="{EE9504C6-F603-4FE0-ABA5-927516AD78F6}">
          <x14:formula1>
            <xm:f>Variables!$L$2:$L$4</xm:f>
          </x14:formula1>
          <xm:sqref>H5:H9 H11 H26:H28 H13:H15 H17:H20</xm:sqref>
        </x14:dataValidation>
        <x14:dataValidation type="list" showInputMessage="1" showErrorMessage="1" xr:uid="{8C436964-F326-4874-A1D8-F6E275D80D78}">
          <x14:formula1>
            <xm:f>Variables!$A$2:$A$4</xm:f>
          </x14:formula1>
          <xm:sqref>C26:C28 C5:C15 C17:C20</xm:sqref>
        </x14:dataValidation>
        <x14:dataValidation type="list" allowBlank="1" showInputMessage="1" showErrorMessage="1" xr:uid="{6E226C3D-0EE2-40A5-BE23-DA9D9A7750E9}">
          <x14:formula1>
            <xm:f>Variables!$L$2:$L$4</xm:f>
          </x14:formula1>
          <xm:sqref>H21:H24 H16</xm:sqref>
        </x14:dataValidation>
        <x14:dataValidation type="list" allowBlank="1" showInputMessage="1" showErrorMessage="1" xr:uid="{E6CCE368-55D8-4655-8345-B76017F050BE}">
          <x14:formula1>
            <xm:f>Variables!$J$2:$J$5</xm:f>
          </x14:formula1>
          <xm:sqref>G21:G24 G16</xm:sqref>
        </x14:dataValidation>
        <x14:dataValidation type="list" allowBlank="1" showInputMessage="1" showErrorMessage="1" xr:uid="{D5C3B856-E947-4677-84D2-0E96028ED5B7}">
          <x14:formula1>
            <xm:f>Variables!$A$2:$A$4</xm:f>
          </x14:formula1>
          <xm:sqref>C21:C24 C16</xm:sqref>
        </x14:dataValidation>
        <x14:dataValidation type="list" allowBlank="1" showInputMessage="1" showErrorMessage="1" xr:uid="{1BA21EEF-563A-4FA6-87E6-A3416D5597E5}">
          <x14:formula1>
            <xm:f>Variables!$I$2:$I$5</xm:f>
          </x14:formula1>
          <xm:sqref>F21:F24 F16</xm:sqref>
        </x14:dataValidation>
        <x14:dataValidation type="list" showInputMessage="1" showErrorMessage="1" xr:uid="{8451697E-0D42-4314-A8AA-1A750BC63087}">
          <x14:formula1>
            <xm:f>Variables!#REF!</xm:f>
          </x14:formula1>
          <xm:sqref>F25:H25</xm:sqref>
        </x14:dataValidation>
        <x14:dataValidation type="list" showInputMessage="1" showErrorMessage="1" xr:uid="{2B0E0E48-086E-480A-9033-5DEF72B55C9B}">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00A78"/>
  </sheetPr>
  <dimension ref="A1:J34"/>
  <sheetViews>
    <sheetView showGridLines="0" zoomScaleNormal="100" workbookViewId="0">
      <selection activeCell="A18" sqref="A18"/>
    </sheetView>
  </sheetViews>
  <sheetFormatPr defaultColWidth="9.140625" defaultRowHeight="24" customHeight="1" x14ac:dyDescent="0.25"/>
  <cols>
    <col min="1" max="1" width="12.42578125" style="161" customWidth="1"/>
    <col min="2" max="2" width="17.5703125" style="8" customWidth="1"/>
    <col min="3" max="3" width="56.5703125" style="8" customWidth="1"/>
    <col min="4" max="4" width="18.5703125" style="8" customWidth="1"/>
    <col min="5" max="5" width="17" style="8" bestFit="1" customWidth="1"/>
    <col min="6" max="6" width="23.85546875" style="8" customWidth="1"/>
    <col min="7" max="7" width="24.140625" style="8" customWidth="1"/>
    <col min="8" max="8" width="34.5703125" style="8" bestFit="1" customWidth="1"/>
    <col min="9" max="9" width="26.5703125" style="93" customWidth="1"/>
    <col min="10" max="10" width="35.5703125" style="8" customWidth="1"/>
    <col min="11" max="16384" width="9.140625" style="8"/>
  </cols>
  <sheetData>
    <row r="1" spans="1:10" ht="12.75" x14ac:dyDescent="0.2">
      <c r="C1" s="173"/>
      <c r="D1" s="173"/>
      <c r="E1" s="173"/>
      <c r="F1" s="9"/>
      <c r="G1" s="9"/>
      <c r="H1" s="9"/>
      <c r="I1" s="8"/>
    </row>
    <row r="2" spans="1:10" ht="18" x14ac:dyDescent="0.25">
      <c r="B2" s="225" t="s">
        <v>183</v>
      </c>
      <c r="C2" s="225"/>
      <c r="D2" s="225"/>
      <c r="E2" s="225"/>
      <c r="F2" s="225"/>
      <c r="G2" s="225"/>
      <c r="H2" s="225"/>
      <c r="I2" s="225"/>
      <c r="J2" s="225"/>
    </row>
    <row r="3" spans="1:10" ht="12.75" x14ac:dyDescent="0.2">
      <c r="I3" s="8"/>
    </row>
    <row r="4" spans="1:10" ht="41.45" customHeight="1" thickBot="1" x14ac:dyDescent="0.25">
      <c r="A4" s="85" t="s">
        <v>66</v>
      </c>
      <c r="B4" s="88" t="s">
        <v>67</v>
      </c>
      <c r="C4" s="50" t="s">
        <v>69</v>
      </c>
      <c r="D4" s="50" t="s">
        <v>70</v>
      </c>
      <c r="E4" s="50" t="s">
        <v>71</v>
      </c>
      <c r="F4" s="50" t="s">
        <v>72</v>
      </c>
      <c r="G4" s="50" t="s">
        <v>73</v>
      </c>
      <c r="H4" s="50" t="s">
        <v>74</v>
      </c>
      <c r="I4" s="113" t="s">
        <v>75</v>
      </c>
      <c r="J4" s="50" t="s">
        <v>76</v>
      </c>
    </row>
    <row r="5" spans="1:10" ht="51.75" thickBot="1" x14ac:dyDescent="0.25">
      <c r="A5" s="162" t="s">
        <v>184</v>
      </c>
      <c r="B5" s="89" t="s">
        <v>185</v>
      </c>
      <c r="C5" s="28" t="str">
        <f>VLOOKUP(A5,'Control Sheet'!_xlnm._FilterDatabase, 2,FALSE)</f>
        <v>Select only those products which meet NG security requirements to include an ISO 27001 (or similar) certification as well as a SOC 2 Type II certification from the datacenter provider they are using</v>
      </c>
      <c r="D5" s="51" t="s">
        <v>181</v>
      </c>
      <c r="E5" s="25" t="s">
        <v>81</v>
      </c>
      <c r="F5" s="25" t="s">
        <v>82</v>
      </c>
      <c r="G5" s="25" t="s">
        <v>83</v>
      </c>
      <c r="H5" s="79" t="s">
        <v>171</v>
      </c>
      <c r="I5" s="79"/>
      <c r="J5" s="80"/>
    </row>
    <row r="6" spans="1:10" ht="102.75" thickBot="1" x14ac:dyDescent="0.25">
      <c r="A6" s="162" t="s">
        <v>92</v>
      </c>
      <c r="B6" s="89" t="s">
        <v>93</v>
      </c>
      <c r="C6" s="28"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94</v>
      </c>
      <c r="E6" s="25" t="s">
        <v>81</v>
      </c>
      <c r="F6" s="25" t="s">
        <v>82</v>
      </c>
      <c r="G6" s="25" t="s">
        <v>83</v>
      </c>
      <c r="H6" s="79" t="s">
        <v>95</v>
      </c>
      <c r="I6" s="79"/>
      <c r="J6" s="80"/>
    </row>
    <row r="7" spans="1:10" ht="141" thickBot="1" x14ac:dyDescent="0.25">
      <c r="A7" s="162" t="s">
        <v>186</v>
      </c>
      <c r="B7" s="89" t="s">
        <v>187</v>
      </c>
      <c r="C7" s="28"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152</v>
      </c>
      <c r="E7" s="25" t="s">
        <v>81</v>
      </c>
      <c r="F7" s="25" t="s">
        <v>82</v>
      </c>
      <c r="G7" s="25" t="s">
        <v>83</v>
      </c>
      <c r="H7" s="79" t="s">
        <v>103</v>
      </c>
      <c r="I7" s="79"/>
      <c r="J7" s="80"/>
    </row>
    <row r="8" spans="1:10" ht="64.5" thickBot="1" x14ac:dyDescent="0.25">
      <c r="A8" s="168" t="s">
        <v>154</v>
      </c>
      <c r="B8" s="89" t="s">
        <v>155</v>
      </c>
      <c r="C8" s="28"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152</v>
      </c>
      <c r="E8" s="25" t="s">
        <v>81</v>
      </c>
      <c r="F8" s="25" t="s">
        <v>82</v>
      </c>
      <c r="G8" s="25" t="s">
        <v>83</v>
      </c>
      <c r="H8" s="79" t="s">
        <v>153</v>
      </c>
      <c r="I8" s="79"/>
      <c r="J8" s="80"/>
    </row>
    <row r="9" spans="1:10" ht="39" thickBot="1" x14ac:dyDescent="0.25">
      <c r="A9" s="162" t="s">
        <v>161</v>
      </c>
      <c r="B9" s="89" t="s">
        <v>162</v>
      </c>
      <c r="C9" s="28" t="str">
        <f>VLOOKUP(A9,'Control Sheet'!_xlnm._FilterDatabase, 2,FALSE)</f>
        <v>Require multi-factor authentication for all interactive application logins off-network</v>
      </c>
      <c r="D9" s="56" t="s">
        <v>163</v>
      </c>
      <c r="E9" s="25" t="s">
        <v>81</v>
      </c>
      <c r="F9" s="25" t="s">
        <v>82</v>
      </c>
      <c r="G9" s="25" t="s">
        <v>98</v>
      </c>
      <c r="H9" s="79" t="s">
        <v>103</v>
      </c>
      <c r="I9" s="79"/>
      <c r="J9" s="80"/>
    </row>
    <row r="10" spans="1:10" ht="26.25" thickBot="1" x14ac:dyDescent="0.25">
      <c r="A10" s="162" t="s">
        <v>124</v>
      </c>
      <c r="B10" s="89" t="s">
        <v>125</v>
      </c>
      <c r="C10" s="67" t="s">
        <v>99</v>
      </c>
      <c r="D10" s="67" t="s">
        <v>98</v>
      </c>
      <c r="E10" s="67" t="s">
        <v>99</v>
      </c>
      <c r="F10" s="67" t="s">
        <v>99</v>
      </c>
      <c r="G10" s="67" t="s">
        <v>98</v>
      </c>
      <c r="H10" s="67" t="s">
        <v>98</v>
      </c>
      <c r="I10" s="79"/>
      <c r="J10" s="80"/>
    </row>
    <row r="11" spans="1:10" ht="26.25" thickBot="1" x14ac:dyDescent="0.25">
      <c r="A11" s="162" t="s">
        <v>164</v>
      </c>
      <c r="B11" s="89" t="s">
        <v>165</v>
      </c>
      <c r="C11" s="67" t="s">
        <v>99</v>
      </c>
      <c r="D11" s="67" t="s">
        <v>98</v>
      </c>
      <c r="E11" s="67" t="s">
        <v>99</v>
      </c>
      <c r="F11" s="67" t="s">
        <v>99</v>
      </c>
      <c r="G11" s="67" t="s">
        <v>98</v>
      </c>
      <c r="H11" s="67" t="s">
        <v>98</v>
      </c>
      <c r="I11" s="79"/>
      <c r="J11" s="80"/>
    </row>
    <row r="12" spans="1:10" ht="26.25" thickBot="1" x14ac:dyDescent="0.25">
      <c r="A12" s="162" t="s">
        <v>133</v>
      </c>
      <c r="B12" s="89" t="s">
        <v>134</v>
      </c>
      <c r="C12" s="67" t="s">
        <v>99</v>
      </c>
      <c r="D12" s="67" t="s">
        <v>98</v>
      </c>
      <c r="E12" s="67" t="s">
        <v>99</v>
      </c>
      <c r="F12" s="67" t="s">
        <v>99</v>
      </c>
      <c r="G12" s="67" t="s">
        <v>98</v>
      </c>
      <c r="H12" s="67" t="s">
        <v>98</v>
      </c>
      <c r="I12" s="79"/>
      <c r="J12" s="80"/>
    </row>
    <row r="13" spans="1:10" ht="179.25" thickBot="1" x14ac:dyDescent="0.25">
      <c r="A13" s="162" t="s">
        <v>89</v>
      </c>
      <c r="B13" s="89" t="s">
        <v>188</v>
      </c>
      <c r="C13" s="28"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91</v>
      </c>
      <c r="E13" s="25" t="s">
        <v>81</v>
      </c>
      <c r="F13" s="25" t="s">
        <v>82</v>
      </c>
      <c r="G13" s="25" t="s">
        <v>83</v>
      </c>
      <c r="H13" s="79" t="s">
        <v>189</v>
      </c>
      <c r="I13" s="79"/>
      <c r="J13" s="80"/>
    </row>
    <row r="14" spans="1:10" ht="26.25" thickBot="1" x14ac:dyDescent="0.25">
      <c r="A14" s="162" t="s">
        <v>168</v>
      </c>
      <c r="B14" s="89" t="s">
        <v>190</v>
      </c>
      <c r="C14" s="67" t="s">
        <v>99</v>
      </c>
      <c r="D14" s="67" t="s">
        <v>98</v>
      </c>
      <c r="E14" s="67" t="s">
        <v>99</v>
      </c>
      <c r="F14" s="67" t="s">
        <v>99</v>
      </c>
      <c r="G14" s="67" t="s">
        <v>98</v>
      </c>
      <c r="H14" s="67" t="s">
        <v>98</v>
      </c>
      <c r="I14" s="79"/>
      <c r="J14" s="80"/>
    </row>
    <row r="15" spans="1:10" ht="26.25" thickBot="1" x14ac:dyDescent="0.25">
      <c r="A15" s="162" t="s">
        <v>96</v>
      </c>
      <c r="B15" s="89" t="s">
        <v>97</v>
      </c>
      <c r="C15" s="67" t="s">
        <v>99</v>
      </c>
      <c r="D15" s="67" t="s">
        <v>98</v>
      </c>
      <c r="E15" s="67" t="s">
        <v>99</v>
      </c>
      <c r="F15" s="67" t="s">
        <v>99</v>
      </c>
      <c r="G15" s="67" t="s">
        <v>98</v>
      </c>
      <c r="H15" s="67" t="s">
        <v>98</v>
      </c>
      <c r="I15" s="79"/>
      <c r="J15" s="80"/>
    </row>
    <row r="16" spans="1:10" ht="115.5" thickBot="1" x14ac:dyDescent="0.25">
      <c r="A16" s="162" t="s">
        <v>191</v>
      </c>
      <c r="B16" s="89" t="s">
        <v>192</v>
      </c>
      <c r="C16" s="28" t="str">
        <f>VLOOKUP(A16,'Control Sheet'!_xlnm._FilterDatabase, 2,FALSE)</f>
        <v xml:space="preserve">Integrate the solution with NG CASB
Ensure SAAS/PAAS data leakage protection is enabled </v>
      </c>
      <c r="D16" s="56" t="s">
        <v>193</v>
      </c>
      <c r="E16" s="25" t="s">
        <v>81</v>
      </c>
      <c r="F16" s="25" t="s">
        <v>82</v>
      </c>
      <c r="G16" s="25" t="s">
        <v>83</v>
      </c>
      <c r="H16" s="79" t="s">
        <v>153</v>
      </c>
      <c r="I16" s="79"/>
      <c r="J16" s="80"/>
    </row>
    <row r="17" spans="1:10" ht="38.25" x14ac:dyDescent="0.2">
      <c r="A17" s="162" t="s">
        <v>150</v>
      </c>
      <c r="B17" s="90" t="s">
        <v>151</v>
      </c>
      <c r="C17" s="28" t="str">
        <f>VLOOKUP(A17,'Control Sheet'!_xlnm._FilterDatabase, 2,FALSE)</f>
        <v>All encryption keys and certificates to be utilized by the application will be issued by a recognized CA and not self-signed and utilizes the AES cipher of a length no smaller than 256-bit</v>
      </c>
      <c r="D17" s="51" t="s">
        <v>152</v>
      </c>
      <c r="E17" s="25" t="s">
        <v>81</v>
      </c>
      <c r="F17" s="25" t="s">
        <v>82</v>
      </c>
      <c r="G17" s="25" t="s">
        <v>83</v>
      </c>
      <c r="H17" s="79" t="s">
        <v>153</v>
      </c>
      <c r="I17" s="79"/>
      <c r="J17" s="80"/>
    </row>
    <row r="18" spans="1:10" ht="51.75" thickBot="1" x14ac:dyDescent="0.25">
      <c r="A18" s="162" t="s">
        <v>172</v>
      </c>
      <c r="B18" s="90" t="s">
        <v>173</v>
      </c>
      <c r="C18" s="28"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174</v>
      </c>
      <c r="E18" s="25" t="s">
        <v>81</v>
      </c>
      <c r="F18" s="25" t="s">
        <v>82</v>
      </c>
      <c r="G18" s="25" t="s">
        <v>83</v>
      </c>
      <c r="H18" s="79" t="s">
        <v>103</v>
      </c>
      <c r="I18" s="79"/>
      <c r="J18" s="80"/>
    </row>
    <row r="19" spans="1:10" ht="51.75" thickBot="1" x14ac:dyDescent="0.25">
      <c r="A19" s="162" t="s">
        <v>136</v>
      </c>
      <c r="B19" s="89" t="s">
        <v>194</v>
      </c>
      <c r="C19" s="28"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56" t="s">
        <v>138</v>
      </c>
      <c r="E19" s="25" t="s">
        <v>81</v>
      </c>
      <c r="F19" s="25" t="s">
        <v>82</v>
      </c>
      <c r="G19" s="25" t="s">
        <v>83</v>
      </c>
      <c r="H19" s="79" t="s">
        <v>95</v>
      </c>
      <c r="I19" s="79"/>
      <c r="J19" s="80"/>
    </row>
    <row r="20" spans="1:10" ht="25.5" x14ac:dyDescent="0.2">
      <c r="A20" s="162" t="s">
        <v>142</v>
      </c>
      <c r="B20" s="94" t="s">
        <v>143</v>
      </c>
      <c r="C20" s="28" t="str">
        <f>VLOOKUP(A20,'Control Sheet'!_xlnm._FilterDatabase, 2,FALSE)</f>
        <v>Production, and non-production environments should be segregated </v>
      </c>
      <c r="D20" s="127" t="s">
        <v>141</v>
      </c>
      <c r="E20" s="25" t="s">
        <v>81</v>
      </c>
      <c r="F20" s="25" t="s">
        <v>82</v>
      </c>
      <c r="G20" s="25" t="s">
        <v>83</v>
      </c>
      <c r="H20" s="79" t="s">
        <v>141</v>
      </c>
      <c r="I20" s="79"/>
      <c r="J20" s="80"/>
    </row>
    <row r="21" spans="1:10" ht="25.5" x14ac:dyDescent="0.2">
      <c r="A21" s="162" t="s">
        <v>144</v>
      </c>
      <c r="B21" s="94" t="s">
        <v>145</v>
      </c>
      <c r="C21" s="28" t="str">
        <f>VLOOKUP(A21,'Control Sheet'!_xlnm._FilterDatabase, 2,FALSE)</f>
        <v>Development Environments cannot be exposed to the internet </v>
      </c>
      <c r="D21" s="127" t="s">
        <v>141</v>
      </c>
      <c r="E21" s="25" t="s">
        <v>81</v>
      </c>
      <c r="F21" s="25" t="s">
        <v>82</v>
      </c>
      <c r="G21" s="25" t="s">
        <v>83</v>
      </c>
      <c r="H21" s="79" t="s">
        <v>141</v>
      </c>
      <c r="I21" s="79"/>
      <c r="J21" s="80"/>
    </row>
    <row r="22" spans="1:10" ht="25.5" x14ac:dyDescent="0.2">
      <c r="A22" s="162" t="s">
        <v>146</v>
      </c>
      <c r="B22" s="94" t="s">
        <v>147</v>
      </c>
      <c r="C22" s="28" t="str">
        <f>VLOOKUP(A22,'Control Sheet'!_xlnm._FilterDatabase, 2,FALSE)</f>
        <v>UAT Environments should only be exposed to the internet if full production controls are in place </v>
      </c>
      <c r="D22" s="127" t="s">
        <v>141</v>
      </c>
      <c r="E22" s="25" t="s">
        <v>81</v>
      </c>
      <c r="F22" s="25" t="s">
        <v>82</v>
      </c>
      <c r="G22" s="25" t="s">
        <v>83</v>
      </c>
      <c r="H22" s="79" t="s">
        <v>141</v>
      </c>
      <c r="I22" s="79"/>
      <c r="J22" s="80"/>
    </row>
    <row r="23" spans="1:10" ht="38.25" x14ac:dyDescent="0.2">
      <c r="A23" s="162" t="s">
        <v>148</v>
      </c>
      <c r="B23" s="94" t="s">
        <v>149</v>
      </c>
      <c r="C23" s="28" t="str">
        <f>VLOOKUP(A23,'Control Sheet'!_xlnm._FilterDatabase, 2,FALSE)</f>
        <v>Non-Production environments will not have production data especially personally identifiable information without obfuscation or anonymization </v>
      </c>
      <c r="D23" s="127" t="s">
        <v>141</v>
      </c>
      <c r="E23" s="25" t="s">
        <v>81</v>
      </c>
      <c r="F23" s="25" t="s">
        <v>82</v>
      </c>
      <c r="G23" s="25" t="s">
        <v>83</v>
      </c>
      <c r="H23" s="79" t="s">
        <v>141</v>
      </c>
      <c r="I23" s="8"/>
    </row>
    <row r="24" spans="1:10" ht="25.5" x14ac:dyDescent="0.2">
      <c r="A24" s="39"/>
      <c r="B24" s="26" t="s">
        <v>107</v>
      </c>
      <c r="C24" s="53"/>
      <c r="D24" s="29"/>
      <c r="E24" s="25"/>
      <c r="F24" s="25"/>
      <c r="G24" s="25"/>
      <c r="H24" s="27"/>
      <c r="I24" s="79"/>
      <c r="J24" s="80"/>
    </row>
    <row r="25" spans="1:10" ht="25.5" x14ac:dyDescent="0.2">
      <c r="A25" s="39"/>
      <c r="B25" s="26" t="s">
        <v>107</v>
      </c>
      <c r="C25" s="29"/>
      <c r="D25" s="29"/>
      <c r="E25" s="25"/>
      <c r="F25" s="25"/>
      <c r="G25" s="25"/>
      <c r="H25" s="27"/>
      <c r="I25" s="79"/>
      <c r="J25" s="80"/>
    </row>
    <row r="26" spans="1:10" ht="25.5" x14ac:dyDescent="0.2">
      <c r="A26" s="39"/>
      <c r="B26" s="26" t="s">
        <v>107</v>
      </c>
      <c r="C26" s="29"/>
      <c r="D26" s="29"/>
      <c r="E26" s="25"/>
      <c r="F26" s="25"/>
      <c r="G26" s="25"/>
      <c r="H26" s="27"/>
      <c r="I26" s="79"/>
      <c r="J26" s="80"/>
    </row>
    <row r="27" spans="1:10" ht="25.5" x14ac:dyDescent="0.2">
      <c r="A27" s="39"/>
      <c r="B27" s="26" t="s">
        <v>107</v>
      </c>
      <c r="C27" s="29"/>
      <c r="D27" s="29"/>
      <c r="E27" s="25"/>
      <c r="F27" s="25"/>
      <c r="G27" s="25"/>
      <c r="H27" s="27"/>
      <c r="I27" s="79"/>
      <c r="J27" s="80"/>
    </row>
    <row r="28" spans="1:10" ht="12.95" customHeight="1" x14ac:dyDescent="0.2">
      <c r="C28" s="227" t="s">
        <v>108</v>
      </c>
      <c r="D28" s="26" t="s">
        <v>109</v>
      </c>
      <c r="E28" s="39">
        <f>COUNTIFS($E$5:$E$27,"Completed")</f>
        <v>0</v>
      </c>
      <c r="F28" s="39">
        <f>COUNTIFS($F$5:$F$27,"YES")</f>
        <v>0</v>
      </c>
      <c r="G28" s="10"/>
      <c r="I28" s="8"/>
    </row>
    <row r="29" spans="1:10" ht="12.95" customHeight="1" x14ac:dyDescent="0.2">
      <c r="C29" s="228"/>
      <c r="D29" s="26" t="s">
        <v>110</v>
      </c>
      <c r="E29" s="39">
        <f>COUNTIFS($E$5:$E$27,"Not started")</f>
        <v>14</v>
      </c>
      <c r="F29" s="39">
        <f>COUNTIFS($F$5:$F$27,"TBC")</f>
        <v>14</v>
      </c>
      <c r="G29" s="106"/>
      <c r="I29" s="8"/>
    </row>
    <row r="30" spans="1:10" ht="12.95" customHeight="1" x14ac:dyDescent="0.2">
      <c r="C30" s="228"/>
      <c r="D30" s="26" t="s">
        <v>99</v>
      </c>
      <c r="E30" s="39">
        <f>COUNTIFS($E$5:$E$27,"NOT APPLICABLE")</f>
        <v>5</v>
      </c>
      <c r="F30" s="39">
        <f>COUNTIFS($F$5:$F$27,"NOT APPLICABLE")</f>
        <v>5</v>
      </c>
      <c r="G30" s="106"/>
      <c r="I30" s="8"/>
    </row>
    <row r="31" spans="1:10" ht="12.95" customHeight="1" x14ac:dyDescent="0.2">
      <c r="C31" s="228"/>
      <c r="D31" s="26" t="s">
        <v>111</v>
      </c>
      <c r="E31" s="39">
        <f>COUNTIFS($E$5:$E$27,"IN PROGRESS")</f>
        <v>0</v>
      </c>
      <c r="F31" s="39">
        <f>COUNTIFS($F$5:$F$27,"IN PROGRESS")</f>
        <v>0</v>
      </c>
      <c r="G31" s="106"/>
      <c r="I31" s="8"/>
    </row>
    <row r="32" spans="1:10" ht="12.95" customHeight="1" x14ac:dyDescent="0.2">
      <c r="C32" s="228"/>
      <c r="D32" s="26" t="s">
        <v>112</v>
      </c>
      <c r="E32" s="97">
        <f>SUM(E28:E31)</f>
        <v>19</v>
      </c>
      <c r="F32" s="97">
        <f>SUM(F28:F31)</f>
        <v>19</v>
      </c>
      <c r="G32" s="106"/>
      <c r="I32" s="8"/>
    </row>
    <row r="33" spans="9:9" ht="24" customHeight="1" x14ac:dyDescent="0.2">
      <c r="I33" s="8"/>
    </row>
    <row r="34" spans="9:9" ht="24" customHeight="1" x14ac:dyDescent="0.2">
      <c r="I34" s="8"/>
    </row>
  </sheetData>
  <mergeCells count="2">
    <mergeCell ref="C28:C32"/>
    <mergeCell ref="B2:J2"/>
  </mergeCells>
  <hyperlinks>
    <hyperlink ref="I4" r:id="rId1" xr:uid="{30BCD91E-89B7-47BA-B32E-89148ECB554F}"/>
    <hyperlink ref="A13" r:id="rId2" xr:uid="{6FC71B10-5DBA-4C7D-AEB9-CD24D2FA393C}"/>
    <hyperlink ref="A15" r:id="rId3" xr:uid="{E1E0DF23-4D94-4D7F-88EB-FA6783DDAE18}"/>
    <hyperlink ref="A6" r:id="rId4" xr:uid="{696A458D-2127-48D9-A533-43F5C41E24E4}"/>
    <hyperlink ref="A10" r:id="rId5" xr:uid="{DD2167E4-8E2E-4478-BF75-BC137764A175}"/>
    <hyperlink ref="A12" r:id="rId6" xr:uid="{81079507-96D7-4D6A-994E-34255F0E3B9B}"/>
    <hyperlink ref="A20" r:id="rId7" display="BSR-ENV-1.1 " xr:uid="{F589D969-F140-4FDB-B7F8-F7743A1A396B}"/>
    <hyperlink ref="A21" r:id="rId8" display="BSR-ENV-1.2 " xr:uid="{34F263F2-59FB-4DBF-8DA0-627A5EC040F8}"/>
    <hyperlink ref="A22" r:id="rId9" display="BSR-ENV-1.3 " xr:uid="{1BDD8247-161F-46C9-AE0B-0A3047B2DD8F}"/>
    <hyperlink ref="A23" r:id="rId10" display="BSR-ENV-1.4 " xr:uid="{2723204C-CF55-487E-90A3-1235951CAFF4}"/>
    <hyperlink ref="A9" r:id="rId11" xr:uid="{2719E9EF-3B8F-4E1C-B4B3-A9D1DD1255C5}"/>
    <hyperlink ref="A19" r:id="rId12" xr:uid="{1E9884BB-9D5A-4CD1-B0CF-CC0BC858CD97}"/>
    <hyperlink ref="A11" r:id="rId13" xr:uid="{24D1D59E-EA49-4320-9681-DEF765C4B62D}"/>
    <hyperlink ref="A5" r:id="rId14" xr:uid="{1CE7D557-45AB-4270-B177-BB076FB5A190}"/>
    <hyperlink ref="A7" r:id="rId15" xr:uid="{5D441EBB-7D17-47D1-BC1F-8B37130E57A8}"/>
    <hyperlink ref="A16" r:id="rId16" xr:uid="{8230F0BE-A117-47B3-BD42-CCB92D2A3954}"/>
    <hyperlink ref="A14" r:id="rId17" xr:uid="{8F485511-BE6A-46D3-BFB3-454080928C5F}"/>
    <hyperlink ref="A17" r:id="rId18" xr:uid="{220ACF11-65BB-4E10-819A-C2F02AB174B9}"/>
    <hyperlink ref="A8" r:id="rId19" xr:uid="{4181D495-9436-4FB5-9312-FD37CC7E1137}"/>
    <hyperlink ref="A18" r:id="rId20" xr:uid="{B3A63ADA-40CC-4A33-9CE1-51B26B7AA72D}"/>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count="6">
        <x14:dataValidation type="list" showInputMessage="1" showErrorMessage="1" xr:uid="{2EE5F044-B441-4F85-96DE-F6ECBB60F8B6}">
          <x14:formula1>
            <xm:f>Variables!$L$2:$L$4</xm:f>
          </x14:formula1>
          <xm:sqref>G24:G27 G5:G19</xm:sqref>
        </x14:dataValidation>
        <x14:dataValidation type="list" showInputMessage="1" showErrorMessage="1" xr:uid="{39A4899D-0C4A-48B7-9FCB-511F84FF0036}">
          <x14:formula1>
            <xm:f>Variables!$I$2:$I$5</xm:f>
          </x14:formula1>
          <xm:sqref>E24:E27 E5:E19</xm:sqref>
        </x14:dataValidation>
        <x14:dataValidation type="list" showInputMessage="1" showErrorMessage="1" xr:uid="{5A2C15BA-EAB8-4BF2-84D7-1A6822DF96F0}">
          <x14:formula1>
            <xm:f>Variables!$J$2:$J$5</xm:f>
          </x14:formula1>
          <xm:sqref>F24:F27 F5:F19</xm:sqref>
        </x14:dataValidation>
        <x14:dataValidation type="list" allowBlank="1" showInputMessage="1" showErrorMessage="1" xr:uid="{C6676814-6596-4DCF-8728-2C892B0C3F78}">
          <x14:formula1>
            <xm:f>Variables!$I$2:$I$5</xm:f>
          </x14:formula1>
          <xm:sqref>E20:E23</xm:sqref>
        </x14:dataValidation>
        <x14:dataValidation type="list" allowBlank="1" showInputMessage="1" showErrorMessage="1" xr:uid="{8C23DF27-64E1-4985-9264-5EFA8DAFA098}">
          <x14:formula1>
            <xm:f>Variables!$J$2:$J$5</xm:f>
          </x14:formula1>
          <xm:sqref>F20:F23</xm:sqref>
        </x14:dataValidation>
        <x14:dataValidation type="list" allowBlank="1" showInputMessage="1" showErrorMessage="1" xr:uid="{A6AB79D7-D649-424A-BEF8-22824834B943}">
          <x14:formula1>
            <xm:f>Variables!$L$2:$L$4</xm:f>
          </x14:formula1>
          <xm:sqref>G20:G23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55555A"/>
  </sheetPr>
  <dimension ref="A1:J29"/>
  <sheetViews>
    <sheetView showGridLines="0" zoomScaleNormal="100" workbookViewId="0">
      <selection activeCell="C5" sqref="C5"/>
    </sheetView>
  </sheetViews>
  <sheetFormatPr defaultColWidth="12.42578125" defaultRowHeight="16.5" customHeight="1" x14ac:dyDescent="0.25"/>
  <cols>
    <col min="1" max="1" width="12.42578125" style="84"/>
    <col min="2" max="2" width="17.5703125" customWidth="1"/>
    <col min="3" max="3" width="56.5703125" customWidth="1"/>
    <col min="4" max="4" width="19.5703125" customWidth="1"/>
    <col min="5" max="5" width="20.5703125" customWidth="1"/>
    <col min="6" max="6" width="23.42578125" customWidth="1"/>
    <col min="7" max="7" width="24.140625" style="8" customWidth="1"/>
    <col min="8" max="8" width="34.5703125" bestFit="1" customWidth="1"/>
    <col min="9" max="9" width="26.5703125" style="93" customWidth="1"/>
    <col min="10" max="10" width="35.5703125" customWidth="1"/>
  </cols>
  <sheetData>
    <row r="1" spans="1:10" s="8" customFormat="1" ht="12.75" x14ac:dyDescent="0.2">
      <c r="C1" s="226"/>
      <c r="D1" s="226"/>
      <c r="E1" s="9"/>
      <c r="F1" s="9"/>
      <c r="G1" s="9"/>
    </row>
    <row r="2" spans="1:10" s="8" customFormat="1" ht="18" x14ac:dyDescent="0.25">
      <c r="B2" s="225" t="s">
        <v>195</v>
      </c>
      <c r="C2" s="225"/>
      <c r="D2" s="225"/>
      <c r="E2" s="225"/>
      <c r="F2" s="225"/>
      <c r="G2" s="225"/>
      <c r="H2" s="225"/>
      <c r="I2" s="225"/>
      <c r="J2" s="225"/>
    </row>
    <row r="3" spans="1:10" s="8" customFormat="1" ht="12.75" x14ac:dyDescent="0.2"/>
    <row r="4" spans="1:10" s="8" customFormat="1" ht="41.45" customHeight="1" thickBot="1" x14ac:dyDescent="0.25">
      <c r="A4" s="85" t="s">
        <v>66</v>
      </c>
      <c r="B4" s="88" t="s">
        <v>67</v>
      </c>
      <c r="C4" s="50" t="s">
        <v>69</v>
      </c>
      <c r="D4" s="50" t="s">
        <v>70</v>
      </c>
      <c r="E4" s="50" t="s">
        <v>71</v>
      </c>
      <c r="F4" s="50" t="s">
        <v>72</v>
      </c>
      <c r="G4" s="50" t="s">
        <v>73</v>
      </c>
      <c r="H4" s="50" t="s">
        <v>74</v>
      </c>
      <c r="I4" s="113" t="s">
        <v>75</v>
      </c>
      <c r="J4" s="50" t="s">
        <v>76</v>
      </c>
    </row>
    <row r="5" spans="1:10" s="8" customFormat="1" ht="153.75" thickBot="1" x14ac:dyDescent="0.25">
      <c r="A5" s="162" t="s">
        <v>196</v>
      </c>
      <c r="B5" s="91" t="s">
        <v>197</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198</v>
      </c>
      <c r="E5" s="25" t="s">
        <v>81</v>
      </c>
      <c r="F5" s="25" t="s">
        <v>82</v>
      </c>
      <c r="G5" s="25" t="s">
        <v>83</v>
      </c>
      <c r="H5" s="79" t="s">
        <v>157</v>
      </c>
      <c r="I5" s="79"/>
      <c r="J5" s="80"/>
    </row>
    <row r="6" spans="1:10" s="8" customFormat="1" ht="77.25" thickBot="1" x14ac:dyDescent="0.25">
      <c r="A6" s="162" t="s">
        <v>199</v>
      </c>
      <c r="B6" s="91" t="s">
        <v>200</v>
      </c>
      <c r="C6" s="131" t="str">
        <f>VLOOKUP(A6,'Control Sheet'!_xlnm._FilterDatabase, 2,FALSE)</f>
        <v>Web API - Web
Web API/CNI integrated - Isolated Web
Relay Agent - Web
Critical Data in cache - App 
Code execution - App 
Data Store - Database</v>
      </c>
      <c r="D6" s="51" t="s">
        <v>201</v>
      </c>
      <c r="E6" s="25" t="s">
        <v>81</v>
      </c>
      <c r="F6" s="25" t="s">
        <v>82</v>
      </c>
      <c r="G6" s="25" t="s">
        <v>83</v>
      </c>
      <c r="H6" s="79" t="s">
        <v>157</v>
      </c>
      <c r="I6" s="79"/>
      <c r="J6" s="80"/>
    </row>
    <row r="7" spans="1:10" s="8" customFormat="1" ht="90" thickBot="1" x14ac:dyDescent="0.25">
      <c r="A7" s="166" t="s">
        <v>202</v>
      </c>
      <c r="B7" s="91" t="s">
        <v>203</v>
      </c>
      <c r="C7" s="131" t="str">
        <f>VLOOKUP(A7,'Control Sheet'!_xlnm._FilterDatabase, 2,FALSE)</f>
        <v>Ensure that the API based application is centrally authenticated using National Grid OAUTH service 
(Managed by Avanade).</v>
      </c>
      <c r="D7" s="51" t="s">
        <v>204</v>
      </c>
      <c r="E7" s="25" t="s">
        <v>81</v>
      </c>
      <c r="F7" s="25" t="s">
        <v>82</v>
      </c>
      <c r="G7" s="25" t="s">
        <v>83</v>
      </c>
      <c r="H7" s="79" t="s">
        <v>103</v>
      </c>
      <c r="I7" s="79"/>
      <c r="J7" s="80"/>
    </row>
    <row r="8" spans="1:10" s="8" customFormat="1" ht="90" thickBot="1" x14ac:dyDescent="0.25">
      <c r="A8" s="162" t="s">
        <v>205</v>
      </c>
      <c r="B8" s="91" t="s">
        <v>206</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207</v>
      </c>
      <c r="E8" s="25" t="s">
        <v>81</v>
      </c>
      <c r="F8" s="25" t="s">
        <v>82</v>
      </c>
      <c r="G8" s="25" t="s">
        <v>83</v>
      </c>
      <c r="H8" s="79" t="s">
        <v>157</v>
      </c>
      <c r="I8" s="79"/>
      <c r="J8" s="80"/>
    </row>
    <row r="9" spans="1:10" s="8" customFormat="1" ht="77.25" thickBot="1" x14ac:dyDescent="0.25">
      <c r="A9" s="162" t="s">
        <v>208</v>
      </c>
      <c r="B9" s="89" t="s">
        <v>209</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72" t="s">
        <v>210</v>
      </c>
      <c r="E9" s="25" t="s">
        <v>81</v>
      </c>
      <c r="F9" s="25" t="s">
        <v>82</v>
      </c>
      <c r="G9" s="25" t="s">
        <v>83</v>
      </c>
      <c r="H9" s="79" t="s">
        <v>157</v>
      </c>
      <c r="I9" s="79"/>
      <c r="J9" s="80"/>
    </row>
    <row r="10" spans="1:10" s="8" customFormat="1" ht="51.75" thickBot="1" x14ac:dyDescent="0.25">
      <c r="A10" s="162" t="s">
        <v>211</v>
      </c>
      <c r="B10" s="89" t="s">
        <v>212</v>
      </c>
      <c r="C10" s="131" t="str">
        <f>VLOOKUP(A10,'Control Sheet'!_xlnm._FilterDatabase, 2,FALSE)</f>
        <v>1.Always enroll your externally published services using Web Application Firewall (NG’s In-house capability - Cloudflare)
OWASP Protection,
Geographical IP Protection (block from Russia, Iran)</v>
      </c>
      <c r="D10" s="72" t="s">
        <v>213</v>
      </c>
      <c r="E10" s="25" t="s">
        <v>81</v>
      </c>
      <c r="F10" s="25" t="s">
        <v>82</v>
      </c>
      <c r="G10" s="25" t="s">
        <v>83</v>
      </c>
      <c r="H10" s="79" t="s">
        <v>157</v>
      </c>
      <c r="I10" s="79"/>
      <c r="J10" s="80"/>
    </row>
    <row r="11" spans="1:10" s="8" customFormat="1" ht="77.25" thickBot="1" x14ac:dyDescent="0.25">
      <c r="A11" s="162" t="s">
        <v>214</v>
      </c>
      <c r="B11" s="89" t="s">
        <v>215</v>
      </c>
      <c r="C11" s="131" t="str">
        <f>VLOOKUP(A11,'Control Sheet'!_xlnm._FilterDatabase, 2,FALSE)</f>
        <v xml:space="preserve">NG Cloudflare Service can perform client certificate checks, For External assets extend the trust, by Enrolling the external entity with NG Public Key certificate </v>
      </c>
      <c r="D11" s="72" t="s">
        <v>216</v>
      </c>
      <c r="E11" s="25" t="s">
        <v>81</v>
      </c>
      <c r="F11" s="25" t="s">
        <v>82</v>
      </c>
      <c r="G11" s="25" t="s">
        <v>83</v>
      </c>
      <c r="H11" s="79" t="s">
        <v>157</v>
      </c>
      <c r="I11" s="79"/>
      <c r="J11" s="80"/>
    </row>
    <row r="12" spans="1:10" s="8" customFormat="1" ht="77.25" thickBot="1" x14ac:dyDescent="0.25">
      <c r="A12" s="162" t="s">
        <v>217</v>
      </c>
      <c r="B12" s="89" t="s">
        <v>218</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72" t="s">
        <v>219</v>
      </c>
      <c r="E12" s="25" t="s">
        <v>81</v>
      </c>
      <c r="F12" s="25" t="s">
        <v>82</v>
      </c>
      <c r="G12" s="25" t="s">
        <v>83</v>
      </c>
      <c r="H12" s="79" t="s">
        <v>103</v>
      </c>
      <c r="I12" s="79"/>
      <c r="J12" s="80"/>
    </row>
    <row r="13" spans="1:10" s="8" customFormat="1" ht="64.5" thickBot="1" x14ac:dyDescent="0.25">
      <c r="A13" s="162" t="s">
        <v>220</v>
      </c>
      <c r="B13" s="89" t="s">
        <v>221</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72" t="s">
        <v>222</v>
      </c>
      <c r="E13" s="25" t="s">
        <v>81</v>
      </c>
      <c r="F13" s="25" t="s">
        <v>82</v>
      </c>
      <c r="G13" s="25" t="s">
        <v>83</v>
      </c>
      <c r="H13" s="79" t="s">
        <v>103</v>
      </c>
      <c r="I13" s="79"/>
      <c r="J13" s="80"/>
    </row>
    <row r="14" spans="1:10" s="8" customFormat="1" ht="102.75" thickBot="1" x14ac:dyDescent="0.25">
      <c r="A14" s="162" t="s">
        <v>223</v>
      </c>
      <c r="B14" s="89" t="s">
        <v>224</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3" t="s">
        <v>225</v>
      </c>
      <c r="E14" s="25" t="s">
        <v>81</v>
      </c>
      <c r="F14" s="25" t="s">
        <v>82</v>
      </c>
      <c r="G14" s="25" t="s">
        <v>83</v>
      </c>
      <c r="H14" s="79" t="s">
        <v>157</v>
      </c>
      <c r="I14" s="79"/>
      <c r="J14" s="80"/>
    </row>
    <row r="15" spans="1:10" s="8" customFormat="1" ht="25.5" x14ac:dyDescent="0.2">
      <c r="A15" s="80"/>
      <c r="B15" s="90" t="s">
        <v>107</v>
      </c>
      <c r="C15" s="28"/>
      <c r="D15" s="64"/>
      <c r="E15" s="25"/>
      <c r="F15" s="25"/>
      <c r="G15" s="25"/>
      <c r="H15" s="27"/>
      <c r="I15" s="27"/>
      <c r="J15" s="80"/>
    </row>
    <row r="16" spans="1:10" s="8" customFormat="1" ht="25.5" x14ac:dyDescent="0.2">
      <c r="A16" s="80"/>
      <c r="B16" s="90" t="s">
        <v>107</v>
      </c>
      <c r="C16" s="28"/>
      <c r="D16" s="64"/>
      <c r="E16" s="25"/>
      <c r="F16" s="25"/>
      <c r="G16" s="25"/>
      <c r="H16" s="27"/>
      <c r="I16" s="27"/>
      <c r="J16" s="80"/>
    </row>
    <row r="17" spans="1:10" s="8" customFormat="1" ht="25.5" x14ac:dyDescent="0.2">
      <c r="A17" s="80"/>
      <c r="B17" s="90" t="s">
        <v>107</v>
      </c>
      <c r="C17" s="29"/>
      <c r="D17" s="64"/>
      <c r="E17" s="25"/>
      <c r="F17" s="25"/>
      <c r="G17" s="25"/>
      <c r="H17" s="27"/>
      <c r="I17" s="27"/>
      <c r="J17" s="80"/>
    </row>
    <row r="18" spans="1:10" s="8" customFormat="1" ht="25.5" x14ac:dyDescent="0.2">
      <c r="A18" s="80"/>
      <c r="B18" s="92" t="s">
        <v>107</v>
      </c>
      <c r="C18" s="29"/>
      <c r="D18" s="28"/>
      <c r="E18" s="25"/>
      <c r="F18" s="25"/>
      <c r="G18" s="25"/>
      <c r="H18" s="27"/>
      <c r="I18" s="27"/>
      <c r="J18" s="80"/>
    </row>
    <row r="19" spans="1:10" s="8" customFormat="1" ht="25.5" x14ac:dyDescent="0.2">
      <c r="A19" s="80"/>
      <c r="B19" s="92" t="s">
        <v>107</v>
      </c>
      <c r="C19" s="29"/>
      <c r="D19" s="28"/>
      <c r="E19" s="25"/>
      <c r="F19" s="25"/>
      <c r="G19" s="25"/>
      <c r="H19" s="27"/>
      <c r="I19" s="27"/>
      <c r="J19" s="80"/>
    </row>
    <row r="20" spans="1:10" ht="12.95" customHeight="1" x14ac:dyDescent="0.25">
      <c r="A20" s="93"/>
      <c r="B20" s="93"/>
      <c r="C20" s="227" t="s">
        <v>108</v>
      </c>
      <c r="D20" s="26" t="s">
        <v>109</v>
      </c>
      <c r="E20" s="39">
        <f>COUNTIFS($E$5:$E$19,"Completed")</f>
        <v>0</v>
      </c>
      <c r="F20" s="39">
        <f>COUNTIFS($F$5:$F$19,"YES")</f>
        <v>0</v>
      </c>
      <c r="G20" s="106"/>
      <c r="H20" s="93"/>
      <c r="J20" s="93"/>
    </row>
    <row r="21" spans="1:10" ht="12.95" customHeight="1" x14ac:dyDescent="0.25">
      <c r="A21" s="93"/>
      <c r="B21" s="93"/>
      <c r="C21" s="228"/>
      <c r="D21" s="26" t="s">
        <v>110</v>
      </c>
      <c r="E21" s="39">
        <f>COUNTIFS($E$5:$E$19,"Not started")</f>
        <v>10</v>
      </c>
      <c r="F21" s="39">
        <f>COUNTIFS($F$5:$F$19,"TBC")</f>
        <v>10</v>
      </c>
      <c r="G21" s="106"/>
      <c r="H21" s="93"/>
      <c r="J21" s="93"/>
    </row>
    <row r="22" spans="1:10" ht="12.95" customHeight="1" x14ac:dyDescent="0.25">
      <c r="A22" s="93"/>
      <c r="B22" s="93"/>
      <c r="C22" s="228"/>
      <c r="D22" s="26" t="s">
        <v>99</v>
      </c>
      <c r="E22" s="39">
        <f>COUNTIFS($E$5:$E$19,"NOT APPLICABLE")</f>
        <v>0</v>
      </c>
      <c r="F22" s="39">
        <f>COUNTIFS($F$5:$F$19,"NOT APPLICABLE")</f>
        <v>0</v>
      </c>
      <c r="G22" s="106"/>
      <c r="H22" s="93"/>
      <c r="J22" s="93"/>
    </row>
    <row r="23" spans="1:10" ht="12.95" customHeight="1" x14ac:dyDescent="0.25">
      <c r="A23" s="93"/>
      <c r="B23" s="93"/>
      <c r="C23" s="228"/>
      <c r="D23" s="26" t="s">
        <v>111</v>
      </c>
      <c r="E23" s="39">
        <f>COUNTIFS($E$5:$E$19,"IN PROGRESS")</f>
        <v>0</v>
      </c>
      <c r="F23" s="39">
        <f>COUNTIFS($F$5:$F$19,"IN PROGRESS")</f>
        <v>0</v>
      </c>
      <c r="G23" s="106"/>
      <c r="H23" s="93"/>
      <c r="J23" s="93"/>
    </row>
    <row r="24" spans="1:10" ht="12.95" customHeight="1" x14ac:dyDescent="0.25">
      <c r="A24" s="93"/>
      <c r="B24" s="93"/>
      <c r="C24" s="228"/>
      <c r="D24" s="26" t="s">
        <v>112</v>
      </c>
      <c r="E24" s="97">
        <f>SUM(E20:E23)</f>
        <v>10</v>
      </c>
      <c r="F24" s="97">
        <f>SUM(F20:F23)</f>
        <v>10</v>
      </c>
      <c r="G24" s="106"/>
      <c r="H24" s="93"/>
      <c r="J24" s="93"/>
    </row>
    <row r="25" spans="1:10" ht="16.5" customHeight="1" x14ac:dyDescent="0.25">
      <c r="A25" s="93"/>
      <c r="B25" s="93"/>
      <c r="C25" s="93"/>
      <c r="D25" s="93"/>
      <c r="E25" s="93"/>
      <c r="F25" s="93"/>
      <c r="G25" s="106"/>
      <c r="H25" s="93"/>
      <c r="J25" s="93"/>
    </row>
    <row r="26" spans="1:10" ht="16.5" customHeight="1" x14ac:dyDescent="0.25">
      <c r="A26" s="93"/>
      <c r="B26" s="93"/>
      <c r="C26" s="93"/>
      <c r="D26" s="93"/>
      <c r="E26" s="93"/>
      <c r="F26" s="93"/>
      <c r="G26" s="106"/>
      <c r="H26" s="93"/>
      <c r="J26" s="93"/>
    </row>
    <row r="27" spans="1:10" ht="16.5" customHeight="1" x14ac:dyDescent="0.25">
      <c r="A27" s="93"/>
      <c r="B27" s="93"/>
      <c r="C27" s="93"/>
      <c r="D27" s="93"/>
      <c r="E27" s="93"/>
      <c r="F27" s="93"/>
      <c r="G27" s="106"/>
      <c r="H27" s="93"/>
      <c r="J27" s="93"/>
    </row>
    <row r="28" spans="1:10" ht="16.5" customHeight="1" x14ac:dyDescent="0.25">
      <c r="A28" s="93"/>
      <c r="B28" s="93"/>
      <c r="C28" s="93"/>
      <c r="D28" s="93"/>
      <c r="E28" s="93"/>
      <c r="F28" s="93"/>
      <c r="G28" s="106"/>
      <c r="H28" s="93"/>
      <c r="J28" s="93"/>
    </row>
    <row r="29" spans="1:10" ht="16.5" customHeight="1" x14ac:dyDescent="0.25">
      <c r="A29" s="93"/>
      <c r="B29" s="93"/>
      <c r="C29" s="93"/>
      <c r="D29" s="93"/>
      <c r="E29" s="93"/>
      <c r="F29" s="93"/>
      <c r="G29" s="106"/>
      <c r="H29" s="93"/>
      <c r="J29" s="93"/>
    </row>
  </sheetData>
  <mergeCells count="3">
    <mergeCell ref="C1:D1"/>
    <mergeCell ref="C20:C24"/>
    <mergeCell ref="B2:J2"/>
  </mergeCells>
  <dataValidations count="1">
    <dataValidation showInputMessage="1" showErrorMessage="1" sqref="G20:G27" xr:uid="{4DBB9B2A-96E8-411D-BF37-543954A733FF}"/>
  </dataValidations>
  <hyperlinks>
    <hyperlink ref="I4" r:id="rId1" xr:uid="{79D274F9-ADFC-4D83-92D3-60DE364576F4}"/>
    <hyperlink ref="A5" r:id="rId2" xr:uid="{11E6A8F7-B640-4D27-AAAE-B7899D17E2A7}"/>
    <hyperlink ref="A8" r:id="rId3" xr:uid="{ACC04094-4DD4-4FD3-A698-24BE6D4598F0}"/>
    <hyperlink ref="A11" r:id="rId4" xr:uid="{162674CF-5EC2-4686-BAA7-A46E3163466D}"/>
    <hyperlink ref="A12" r:id="rId5" xr:uid="{7607EFDB-E155-46DD-BC7B-6E92795F125A}"/>
    <hyperlink ref="A13" r:id="rId6" xr:uid="{2C3B546D-D76F-4456-898D-FE911C157D90}"/>
    <hyperlink ref="A14" r:id="rId7" xr:uid="{C0CD1D5A-55B4-4C22-8C7B-5A91D5921156}"/>
    <hyperlink ref="A6" r:id="rId8" xr:uid="{2C7A26C2-C12D-434E-862E-9DED225A1825}"/>
    <hyperlink ref="A7" r:id="rId9" xr:uid="{82E1A3FD-AEFD-401F-A9BD-FA59F0997722}"/>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3">
        <x14:dataValidation type="list" showInputMessage="1" showErrorMessage="1" xr:uid="{D77FE950-B46B-4492-ADBF-D3F20E131EF6}">
          <x14:formula1>
            <xm:f>Variables!$I$2:$I$5</xm:f>
          </x14:formula1>
          <xm:sqref>E5:E19</xm:sqref>
        </x14:dataValidation>
        <x14:dataValidation type="list" showInputMessage="1" showErrorMessage="1" xr:uid="{2DC51003-5071-49EF-AE84-3E088947C610}">
          <x14:formula1>
            <xm:f>Variables!$L$2:$L$4</xm:f>
          </x14:formula1>
          <xm:sqref>G5:G19</xm:sqref>
        </x14:dataValidation>
        <x14:dataValidation type="list" showInputMessage="1" showErrorMessage="1" xr:uid="{15663AD9-E678-4D9E-B3D7-839EE71898C4}">
          <x14:formula1>
            <xm:f>Variables!$J$2:$J$5</xm:f>
          </x14:formula1>
          <xm:sqref>G15 F5:F19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38B41-32A5-4DDD-9F9C-B1157E2D0065}">
  <sheetPr codeName="Sheet12">
    <tabColor rgb="FFFFB45A"/>
  </sheetPr>
  <dimension ref="A1:K36"/>
  <sheetViews>
    <sheetView showGridLines="0" zoomScaleNormal="100" workbookViewId="0">
      <selection activeCell="A10" sqref="A10"/>
    </sheetView>
  </sheetViews>
  <sheetFormatPr defaultColWidth="9.140625" defaultRowHeight="42" customHeight="1" x14ac:dyDescent="0.25"/>
  <cols>
    <col min="1" max="1" width="12.42578125" style="160" customWidth="1"/>
    <col min="2" max="2" width="17.5703125" style="10" customWidth="1"/>
    <col min="3" max="3" width="18.5703125" style="11" customWidth="1"/>
    <col min="4" max="4" width="33.5703125" style="10" customWidth="1"/>
    <col min="5" max="5" width="17.5703125" style="20" bestFit="1" customWidth="1"/>
    <col min="6" max="6" width="17" style="10" bestFit="1" customWidth="1"/>
    <col min="7" max="7" width="21.5703125" style="10" customWidth="1"/>
    <col min="8" max="8" width="26.42578125" style="9" bestFit="1" customWidth="1"/>
    <col min="9" max="9" width="39.5703125" style="101" customWidth="1"/>
    <col min="10" max="10" width="26.5703125" style="93"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x14ac:dyDescent="0.2">
      <c r="E1" s="173"/>
      <c r="F1" s="20"/>
      <c r="J1" s="8"/>
    </row>
    <row r="2" spans="1:11" s="8" customFormat="1" ht="18" x14ac:dyDescent="0.25">
      <c r="A2" s="157"/>
      <c r="B2" s="225" t="s">
        <v>65</v>
      </c>
      <c r="C2" s="225"/>
      <c r="D2" s="225"/>
      <c r="E2" s="225"/>
      <c r="F2" s="225"/>
      <c r="G2" s="225"/>
      <c r="H2" s="225"/>
      <c r="I2" s="225"/>
      <c r="J2" s="225"/>
      <c r="K2" s="225"/>
    </row>
    <row r="3" spans="1:11" s="8" customFormat="1" ht="12.75" x14ac:dyDescent="0.2">
      <c r="A3" s="157"/>
      <c r="I3" s="173"/>
    </row>
    <row r="4" spans="1:11" s="8" customFormat="1" ht="41.45" customHeight="1" thickBot="1" x14ac:dyDescent="0.25">
      <c r="A4" s="85" t="s">
        <v>66</v>
      </c>
      <c r="B4" s="50" t="s">
        <v>67</v>
      </c>
      <c r="C4" s="50" t="s">
        <v>68</v>
      </c>
      <c r="D4" s="50" t="s">
        <v>69</v>
      </c>
      <c r="E4" s="50" t="s">
        <v>70</v>
      </c>
      <c r="F4" s="50" t="s">
        <v>71</v>
      </c>
      <c r="G4" s="50" t="s">
        <v>226</v>
      </c>
      <c r="H4" s="50" t="s">
        <v>73</v>
      </c>
      <c r="I4" s="50" t="s">
        <v>74</v>
      </c>
      <c r="J4" s="113" t="s">
        <v>75</v>
      </c>
      <c r="K4" s="50" t="s">
        <v>76</v>
      </c>
    </row>
    <row r="5" spans="1:11" s="8" customFormat="1" ht="53.25" customHeight="1" thickBot="1" x14ac:dyDescent="0.25">
      <c r="A5" s="162" t="s">
        <v>77</v>
      </c>
      <c r="B5" s="24" t="s">
        <v>78</v>
      </c>
      <c r="C5" s="25" t="s">
        <v>79</v>
      </c>
      <c r="D5" s="131" t="str">
        <f>VLOOKUP(A5,'Control Sheet'!_xlnm._FilterDatabase, 2,FALSE)</f>
        <v>Enable disk encryption using NG approved tool and apply recommended settings</v>
      </c>
      <c r="E5" s="51" t="s">
        <v>80</v>
      </c>
      <c r="F5" s="25" t="s">
        <v>81</v>
      </c>
      <c r="G5" s="25" t="s">
        <v>82</v>
      </c>
      <c r="H5" s="25" t="s">
        <v>83</v>
      </c>
      <c r="I5" s="79" t="s">
        <v>84</v>
      </c>
      <c r="J5" s="79"/>
      <c r="K5" s="80"/>
    </row>
    <row r="6" spans="1:11" s="8" customFormat="1" ht="128.1" customHeight="1" thickBot="1" x14ac:dyDescent="0.25">
      <c r="A6" s="162" t="s">
        <v>85</v>
      </c>
      <c r="B6" s="24" t="s">
        <v>86</v>
      </c>
      <c r="C6" s="25" t="s">
        <v>87</v>
      </c>
      <c r="D6" s="131" t="str">
        <f>VLOOKUP(A6,'Control Sheet'!_xlnm._FilterDatabase, 2,FALSE)</f>
        <v>Ensure all systems deploy approved antivirus and malware defense solution</v>
      </c>
      <c r="E6" s="51" t="s">
        <v>88</v>
      </c>
      <c r="F6" s="25" t="s">
        <v>81</v>
      </c>
      <c r="G6" s="25" t="s">
        <v>82</v>
      </c>
      <c r="H6" s="25" t="s">
        <v>83</v>
      </c>
      <c r="I6" s="79" t="s">
        <v>84</v>
      </c>
      <c r="J6" s="79"/>
      <c r="K6" s="80"/>
    </row>
    <row r="7" spans="1:11" s="8" customFormat="1" ht="202.5" customHeight="1" thickBot="1" x14ac:dyDescent="0.25">
      <c r="A7" s="162" t="s">
        <v>89</v>
      </c>
      <c r="B7" s="24" t="s">
        <v>90</v>
      </c>
      <c r="C7" s="25" t="s">
        <v>87</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91</v>
      </c>
      <c r="F7" s="25" t="s">
        <v>81</v>
      </c>
      <c r="G7" s="25" t="s">
        <v>82</v>
      </c>
      <c r="H7" s="25" t="s">
        <v>83</v>
      </c>
      <c r="I7" s="79" t="s">
        <v>84</v>
      </c>
      <c r="J7" s="79"/>
      <c r="K7" s="80"/>
    </row>
    <row r="8" spans="1:11" s="8" customFormat="1" ht="119.45" customHeight="1" thickBot="1" x14ac:dyDescent="0.25">
      <c r="A8" s="162" t="s">
        <v>92</v>
      </c>
      <c r="B8" s="24" t="s">
        <v>93</v>
      </c>
      <c r="C8" s="25" t="s">
        <v>79</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94</v>
      </c>
      <c r="F8" s="25" t="s">
        <v>81</v>
      </c>
      <c r="G8" s="25" t="s">
        <v>82</v>
      </c>
      <c r="H8" s="25" t="s">
        <v>83</v>
      </c>
      <c r="I8" s="79" t="s">
        <v>95</v>
      </c>
      <c r="J8" s="79"/>
      <c r="K8" s="80"/>
    </row>
    <row r="9" spans="1:11" s="8" customFormat="1" ht="39.950000000000003" customHeight="1" thickBot="1" x14ac:dyDescent="0.25">
      <c r="A9" s="162" t="s">
        <v>96</v>
      </c>
      <c r="B9" s="26" t="s">
        <v>97</v>
      </c>
      <c r="C9" s="67" t="s">
        <v>98</v>
      </c>
      <c r="D9" s="67" t="s">
        <v>99</v>
      </c>
      <c r="E9" s="67" t="s">
        <v>98</v>
      </c>
      <c r="F9" s="67" t="s">
        <v>99</v>
      </c>
      <c r="G9" s="67" t="s">
        <v>99</v>
      </c>
      <c r="H9" s="67" t="s">
        <v>99</v>
      </c>
      <c r="I9" s="67" t="s">
        <v>98</v>
      </c>
      <c r="J9" s="79"/>
      <c r="K9" s="80"/>
    </row>
    <row r="10" spans="1:11" s="8" customFormat="1" ht="95.45" customHeight="1" thickBot="1" x14ac:dyDescent="0.25">
      <c r="A10" s="167" t="s">
        <v>100</v>
      </c>
      <c r="B10" s="26" t="s">
        <v>101</v>
      </c>
      <c r="C10" s="25" t="s">
        <v>79</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75" t="s">
        <v>102</v>
      </c>
      <c r="F10" s="25" t="s">
        <v>81</v>
      </c>
      <c r="G10" s="25" t="s">
        <v>82</v>
      </c>
      <c r="H10" s="25" t="s">
        <v>83</v>
      </c>
      <c r="I10" s="79" t="s">
        <v>103</v>
      </c>
      <c r="J10" s="79"/>
      <c r="K10" s="80"/>
    </row>
    <row r="11" spans="1:11" s="8" customFormat="1" ht="183" customHeight="1" thickBot="1" x14ac:dyDescent="0.25">
      <c r="A11" s="162" t="s">
        <v>104</v>
      </c>
      <c r="B11" s="26" t="s">
        <v>105</v>
      </c>
      <c r="C11" s="25" t="s">
        <v>79</v>
      </c>
      <c r="D11" s="131" t="str">
        <f>VLOOKUP(A11,'Control Sheet'!_xlnm._FilterDatabase, 2,FALSE)</f>
        <v>1) Deploy appropriate security service for intrusion detection.
2) Review alerts as they are received.
3) Integrate log with Cyber Security Operation Centre (CSOC) log service.</v>
      </c>
      <c r="E11" s="77" t="s">
        <v>106</v>
      </c>
      <c r="F11" s="25" t="s">
        <v>81</v>
      </c>
      <c r="G11" s="25" t="s">
        <v>82</v>
      </c>
      <c r="H11" s="25" t="s">
        <v>83</v>
      </c>
      <c r="I11" s="79" t="s">
        <v>84</v>
      </c>
      <c r="J11" s="79"/>
      <c r="K11" s="80"/>
    </row>
    <row r="12" spans="1:11" s="8" customFormat="1" ht="25.5" x14ac:dyDescent="0.2">
      <c r="A12" s="97"/>
      <c r="B12" s="26" t="s">
        <v>107</v>
      </c>
      <c r="C12" s="25"/>
      <c r="D12" s="28"/>
      <c r="E12" s="28"/>
      <c r="F12" s="25"/>
      <c r="G12" s="25"/>
      <c r="H12" s="25"/>
      <c r="I12" s="79"/>
      <c r="J12" s="79"/>
      <c r="K12" s="80"/>
    </row>
    <row r="13" spans="1:11" s="8" customFormat="1" ht="25.5" x14ac:dyDescent="0.2">
      <c r="A13" s="97"/>
      <c r="B13" s="26" t="s">
        <v>107</v>
      </c>
      <c r="C13" s="25"/>
      <c r="D13" s="28"/>
      <c r="E13" s="28"/>
      <c r="F13" s="25"/>
      <c r="G13" s="25"/>
      <c r="H13" s="25"/>
      <c r="I13" s="79"/>
      <c r="J13" s="79"/>
      <c r="K13" s="80"/>
    </row>
    <row r="14" spans="1:11" s="8" customFormat="1" ht="25.5" x14ac:dyDescent="0.2">
      <c r="A14" s="97"/>
      <c r="B14" s="26" t="s">
        <v>107</v>
      </c>
      <c r="C14" s="25"/>
      <c r="D14" s="29"/>
      <c r="E14" s="28"/>
      <c r="F14" s="25"/>
      <c r="G14" s="25"/>
      <c r="H14" s="25"/>
      <c r="I14" s="79"/>
      <c r="J14" s="79"/>
      <c r="K14" s="80"/>
    </row>
    <row r="15" spans="1:11" s="8" customFormat="1" ht="25.5" x14ac:dyDescent="0.2">
      <c r="A15" s="97"/>
      <c r="B15" s="26" t="s">
        <v>107</v>
      </c>
      <c r="C15" s="25"/>
      <c r="D15" s="29"/>
      <c r="E15" s="28"/>
      <c r="F15" s="25"/>
      <c r="G15" s="25"/>
      <c r="H15" s="25"/>
      <c r="I15" s="79"/>
      <c r="J15" s="79"/>
      <c r="K15" s="80"/>
    </row>
    <row r="16" spans="1:11" s="8" customFormat="1" ht="25.5" x14ac:dyDescent="0.2">
      <c r="A16" s="97"/>
      <c r="B16" s="26" t="s">
        <v>107</v>
      </c>
      <c r="C16" s="25"/>
      <c r="D16" s="29"/>
      <c r="E16" s="28"/>
      <c r="F16" s="25"/>
      <c r="G16" s="25"/>
      <c r="H16" s="25"/>
      <c r="I16" s="79"/>
      <c r="J16" s="79"/>
      <c r="K16" s="80"/>
    </row>
    <row r="17" spans="4:10" ht="12.95" customHeight="1" x14ac:dyDescent="0.2">
      <c r="D17" s="227" t="s">
        <v>108</v>
      </c>
      <c r="E17" s="26" t="s">
        <v>109</v>
      </c>
      <c r="F17" s="39">
        <f>COUNTIFS($F$5:$F$16,"Completed")</f>
        <v>0</v>
      </c>
      <c r="G17" s="39">
        <f>COUNTIFS($G$5:$G$16,"YES")</f>
        <v>0</v>
      </c>
      <c r="H17" s="102"/>
      <c r="J17" s="101"/>
    </row>
    <row r="18" spans="4:10" ht="12.95" customHeight="1" x14ac:dyDescent="0.2">
      <c r="D18" s="228"/>
      <c r="E18" s="26" t="s">
        <v>110</v>
      </c>
      <c r="F18" s="39">
        <f>COUNTIFS($F$5:$F$16,"Not started")</f>
        <v>6</v>
      </c>
      <c r="G18" s="39">
        <f>COUNTIFS($G$5:$G$16,"TBC")</f>
        <v>6</v>
      </c>
      <c r="H18" s="102"/>
      <c r="J18" s="101"/>
    </row>
    <row r="19" spans="4:10" ht="12.95" customHeight="1" x14ac:dyDescent="0.2">
      <c r="D19" s="228"/>
      <c r="E19" s="26" t="s">
        <v>99</v>
      </c>
      <c r="F19" s="39">
        <f>COUNTIFS($F$5:$F$16,"NOT APPLICABLE")</f>
        <v>1</v>
      </c>
      <c r="G19" s="39">
        <f>COUNTIFS($G$5:$G$16,"NOT APPLICABLE")</f>
        <v>1</v>
      </c>
      <c r="H19" s="102"/>
      <c r="J19" s="101"/>
    </row>
    <row r="20" spans="4:10" ht="12.95" customHeight="1" x14ac:dyDescent="0.2">
      <c r="D20" s="228"/>
      <c r="E20" s="26" t="s">
        <v>111</v>
      </c>
      <c r="F20" s="39">
        <f>COUNTIFS($F$5:$F$16,"IN PROGRESS")</f>
        <v>0</v>
      </c>
      <c r="G20" s="39">
        <f>COUNTIFS($G$5:$G$16,"IN PROGRESS")</f>
        <v>0</v>
      </c>
      <c r="H20" s="102"/>
      <c r="J20" s="101"/>
    </row>
    <row r="21" spans="4:10" ht="12.95" customHeight="1" x14ac:dyDescent="0.2">
      <c r="D21" s="228"/>
      <c r="E21" s="26" t="s">
        <v>112</v>
      </c>
      <c r="F21" s="97">
        <f>SUM(F17:F20)</f>
        <v>7</v>
      </c>
      <c r="G21" s="97">
        <f>SUM(G17:G20)</f>
        <v>7</v>
      </c>
      <c r="H21" s="102"/>
      <c r="J21" s="101"/>
    </row>
    <row r="22" spans="4:10" ht="42" customHeight="1" x14ac:dyDescent="0.2">
      <c r="E22" s="10"/>
      <c r="F22" s="20"/>
      <c r="H22" s="102"/>
      <c r="J22" s="101"/>
    </row>
    <row r="23" spans="4:10" ht="42" customHeight="1" x14ac:dyDescent="0.2">
      <c r="E23" s="10"/>
      <c r="F23" s="20"/>
      <c r="H23" s="102"/>
      <c r="J23" s="101"/>
    </row>
    <row r="24" spans="4:10" ht="42" customHeight="1" x14ac:dyDescent="0.2">
      <c r="H24" s="102"/>
      <c r="J24" s="101"/>
    </row>
    <row r="25" spans="4:10" ht="42" customHeight="1" x14ac:dyDescent="0.2">
      <c r="H25" s="102"/>
      <c r="J25" s="101"/>
    </row>
    <row r="26" spans="4:10" ht="42" customHeight="1" x14ac:dyDescent="0.2">
      <c r="H26" s="103"/>
      <c r="J26" s="101"/>
    </row>
    <row r="27" spans="4:10" ht="42" customHeight="1" x14ac:dyDescent="0.2">
      <c r="J27" s="101"/>
    </row>
    <row r="28" spans="4:10" ht="42" customHeight="1" x14ac:dyDescent="0.2">
      <c r="J28" s="101"/>
    </row>
    <row r="29" spans="4:10" ht="42" customHeight="1" x14ac:dyDescent="0.2">
      <c r="J29" s="101"/>
    </row>
    <row r="30" spans="4:10" ht="42" customHeight="1" x14ac:dyDescent="0.2">
      <c r="J30" s="101"/>
    </row>
    <row r="31" spans="4:10" ht="42" customHeight="1" x14ac:dyDescent="0.2">
      <c r="J31" s="101"/>
    </row>
    <row r="32" spans="4:10" ht="42" customHeight="1" x14ac:dyDescent="0.2">
      <c r="J32" s="101"/>
    </row>
    <row r="33" spans="10:10" ht="42" customHeight="1" x14ac:dyDescent="0.2">
      <c r="J33" s="101"/>
    </row>
    <row r="34" spans="10:10" ht="42" customHeight="1" x14ac:dyDescent="0.2">
      <c r="J34" s="101"/>
    </row>
    <row r="35" spans="10:10" ht="42" customHeight="1" x14ac:dyDescent="0.2">
      <c r="J35" s="101"/>
    </row>
    <row r="36" spans="10:10" ht="42" customHeight="1" x14ac:dyDescent="0.2">
      <c r="J36" s="101"/>
    </row>
  </sheetData>
  <mergeCells count="2">
    <mergeCell ref="D17:D21"/>
    <mergeCell ref="B2:K2"/>
  </mergeCells>
  <hyperlinks>
    <hyperlink ref="J4" r:id="rId1" xr:uid="{E256970D-DC3C-439A-8CC0-089D741773E9}"/>
    <hyperlink ref="A5" r:id="rId2" xr:uid="{CA8580C2-83D9-463B-AB7E-6677EE4B13C5}"/>
    <hyperlink ref="A6" r:id="rId3" xr:uid="{513D2E88-2D7C-42A0-B3E2-AED8BEDEDE6D}"/>
    <hyperlink ref="A7" r:id="rId4" xr:uid="{3AB73407-5764-4BBA-9EF9-1AED2797DF83}"/>
    <hyperlink ref="A9" r:id="rId5" xr:uid="{0EC496FE-E0A8-4D19-B134-FC47E5D7DBB9}"/>
    <hyperlink ref="A11" r:id="rId6" xr:uid="{144DF742-F497-44C5-9FE1-0C4ECA5F7B46}"/>
    <hyperlink ref="A8" r:id="rId7" xr:uid="{46B592B6-B3C9-43AC-BB67-77944EE6C5DB}"/>
    <hyperlink ref="A10" r:id="rId8" xr:uid="{88763A03-3432-413A-ACD0-48820C7F7643}"/>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5">
        <x14:dataValidation type="list" allowBlank="1" showInputMessage="1" showErrorMessage="1" xr:uid="{64EB33A0-4EB3-4320-BEAC-DB45BB2192F4}">
          <x14:formula1>
            <xm:f>Variables!$I$2:$I$5</xm:f>
          </x14:formula1>
          <xm:sqref>F5:F16</xm:sqref>
        </x14:dataValidation>
        <x14:dataValidation type="list" allowBlank="1" showInputMessage="1" showErrorMessage="1" xr:uid="{9D42C62D-E6D4-44F7-96E1-B0C33C02F8E6}">
          <x14:formula1>
            <xm:f>Variables!$J$2:$J$5</xm:f>
          </x14:formula1>
          <xm:sqref>G12:G16</xm:sqref>
        </x14:dataValidation>
        <x14:dataValidation type="list" allowBlank="1" showInputMessage="1" showErrorMessage="1" xr:uid="{77FEDE82-BB50-4B34-99F9-C9F6C5EDD9FE}">
          <x14:formula1>
            <xm:f>Variables!$A$2:$A$4</xm:f>
          </x14:formula1>
          <xm:sqref>C5:C16</xm:sqref>
        </x14:dataValidation>
        <x14:dataValidation type="list" allowBlank="1" showInputMessage="1" showErrorMessage="1" xr:uid="{C1BB0D55-F0D6-4452-BE79-304A7CC17F3F}">
          <x14:formula1>
            <xm:f>Variables!$L$2:$L$4</xm:f>
          </x14:formula1>
          <xm:sqref>H5:H16</xm:sqref>
        </x14:dataValidation>
        <x14:dataValidation type="list" showInputMessage="1" showErrorMessage="1" xr:uid="{B2E6B43B-31F1-459C-B5E7-2641EFD7C618}">
          <x14:formula1>
            <xm:f>Variables!$J$2:$J$5</xm:f>
          </x14:formula1>
          <xm:sqref>G5:G11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B64A8-5E76-4236-936E-8EDBAA32B3AE}">
  <sheetPr codeName="Sheet11">
    <tabColor rgb="FF0073CD"/>
  </sheetPr>
  <dimension ref="A1:K31"/>
  <sheetViews>
    <sheetView showGridLines="0" topLeftCell="A15" zoomScaleNormal="100" workbookViewId="0">
      <selection activeCell="A17" sqref="A17"/>
    </sheetView>
  </sheetViews>
  <sheetFormatPr defaultRowHeight="15" x14ac:dyDescent="0.25"/>
  <cols>
    <col min="1" max="1" width="11.85546875" style="8" customWidth="1"/>
    <col min="2" max="2" width="17.5703125" style="8" customWidth="1"/>
    <col min="3" max="3" width="18.5703125" style="8" customWidth="1"/>
    <col min="4" max="4" width="33.5703125" style="8" customWidth="1"/>
    <col min="5" max="5" width="18.5703125" style="8" customWidth="1"/>
    <col min="6" max="6" width="17" style="9" bestFit="1" customWidth="1"/>
    <col min="7" max="7" width="21.5703125" style="9" customWidth="1"/>
    <col min="8" max="8" width="26.42578125" style="9" bestFit="1" customWidth="1"/>
    <col min="9" max="9" width="34.5703125" style="8" bestFit="1" customWidth="1"/>
    <col min="10" max="10" width="26.5703125" style="93"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x14ac:dyDescent="0.2">
      <c r="C1" s="226"/>
      <c r="D1" s="226"/>
      <c r="E1" s="173"/>
      <c r="J1" s="8"/>
    </row>
    <row r="2" spans="1:11" ht="18" x14ac:dyDescent="0.25">
      <c r="B2" s="225" t="s">
        <v>113</v>
      </c>
      <c r="C2" s="225"/>
      <c r="D2" s="225"/>
      <c r="E2" s="225"/>
      <c r="F2" s="225"/>
      <c r="G2" s="225"/>
      <c r="H2" s="225"/>
      <c r="I2" s="225"/>
      <c r="J2" s="225"/>
      <c r="K2" s="225"/>
    </row>
    <row r="3" spans="1:11" ht="12.75" x14ac:dyDescent="0.2">
      <c r="F3" s="8"/>
      <c r="G3" s="8"/>
      <c r="H3" s="8"/>
      <c r="J3" s="8"/>
    </row>
    <row r="4" spans="1:11" ht="41.45" customHeight="1" thickBot="1" x14ac:dyDescent="0.25">
      <c r="A4" s="85" t="s">
        <v>66</v>
      </c>
      <c r="B4" s="50" t="s">
        <v>67</v>
      </c>
      <c r="C4" s="50" t="s">
        <v>68</v>
      </c>
      <c r="D4" s="50" t="s">
        <v>69</v>
      </c>
      <c r="E4" s="50" t="s">
        <v>70</v>
      </c>
      <c r="F4" s="50" t="s">
        <v>71</v>
      </c>
      <c r="G4" s="50" t="s">
        <v>226</v>
      </c>
      <c r="H4" s="50" t="s">
        <v>73</v>
      </c>
      <c r="I4" s="50" t="s">
        <v>74</v>
      </c>
      <c r="J4" s="113" t="s">
        <v>75</v>
      </c>
      <c r="K4" s="50" t="s">
        <v>76</v>
      </c>
    </row>
    <row r="5" spans="1:11" ht="64.5" thickBot="1" x14ac:dyDescent="0.25">
      <c r="A5" s="162" t="s">
        <v>114</v>
      </c>
      <c r="B5" s="24" t="s">
        <v>115</v>
      </c>
      <c r="C5" s="25" t="s">
        <v>87</v>
      </c>
      <c r="D5" s="131" t="str">
        <f>VLOOKUP(A5,'Control Sheet'!_xlnm._FilterDatabase, 2,FALSE)</f>
        <v>Perform a monthly vulnerability scan. 
Remediate severity 4 and 5 vulnerabilities within two days of discovery and severity 3 vulnerabilities within seven days (TBC).</v>
      </c>
      <c r="E5" s="51" t="s">
        <v>116</v>
      </c>
      <c r="F5" s="25" t="s">
        <v>81</v>
      </c>
      <c r="G5" s="25" t="s">
        <v>82</v>
      </c>
      <c r="H5" s="25" t="s">
        <v>83</v>
      </c>
      <c r="I5" s="79" t="s">
        <v>95</v>
      </c>
      <c r="J5" s="79"/>
      <c r="K5" s="80"/>
    </row>
    <row r="6" spans="1:11" ht="39" thickBot="1" x14ac:dyDescent="0.25">
      <c r="A6" s="162" t="s">
        <v>117</v>
      </c>
      <c r="B6" s="24" t="s">
        <v>118</v>
      </c>
      <c r="C6" s="25" t="s">
        <v>79</v>
      </c>
      <c r="D6" s="131" t="str">
        <f>VLOOKUP(A6,'Control Sheet'!_xlnm._FilterDatabase, 2,FALSE)</f>
        <v>Enable host-based firewall in default deny mode and permit the Baseline necessary services.</v>
      </c>
      <c r="E6" s="51" t="s">
        <v>119</v>
      </c>
      <c r="F6" s="25" t="s">
        <v>81</v>
      </c>
      <c r="G6" s="25" t="s">
        <v>82</v>
      </c>
      <c r="H6" s="25" t="s">
        <v>83</v>
      </c>
      <c r="I6" s="79" t="s">
        <v>120</v>
      </c>
      <c r="J6" s="79"/>
      <c r="K6" s="80"/>
    </row>
    <row r="7" spans="1:11" ht="102.75" thickBot="1" x14ac:dyDescent="0.25">
      <c r="A7" s="162" t="s">
        <v>121</v>
      </c>
      <c r="B7" s="24" t="s">
        <v>122</v>
      </c>
      <c r="C7" s="25"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90" thickBot="1" x14ac:dyDescent="0.25">
      <c r="A8" s="162" t="s">
        <v>124</v>
      </c>
      <c r="B8" s="24" t="s">
        <v>125</v>
      </c>
      <c r="C8" s="25" t="s">
        <v>87</v>
      </c>
      <c r="D8" s="131" t="str">
        <f>VLOOKUP(A8,'Control Sheet'!_xlnm._FilterDatabase, 2,FALSE)</f>
        <v>Forward logs to a remote log server. Logs should be made available to NG CSOC</v>
      </c>
      <c r="E8" s="51" t="s">
        <v>126</v>
      </c>
      <c r="F8" s="25" t="s">
        <v>81</v>
      </c>
      <c r="G8" s="25" t="s">
        <v>82</v>
      </c>
      <c r="H8" s="25" t="s">
        <v>83</v>
      </c>
      <c r="I8" s="79" t="s">
        <v>127</v>
      </c>
      <c r="J8" s="79"/>
      <c r="K8" s="80"/>
    </row>
    <row r="9" spans="1:11" ht="102.75" thickBot="1" x14ac:dyDescent="0.25">
      <c r="A9" s="162" t="s">
        <v>104</v>
      </c>
      <c r="B9" s="26" t="s">
        <v>105</v>
      </c>
      <c r="C9" s="25" t="s">
        <v>87</v>
      </c>
      <c r="D9" s="131" t="str">
        <f>VLOOKUP(A9,'Control Sheet'!_xlnm._FilterDatabase, 2,FALSE)</f>
        <v>1) Deploy appropriate security service for intrusion detection.
2) Review alerts as they are received.
3) Integrate log with Cyber Security Operation Centre (CSOC) log service.</v>
      </c>
      <c r="E9" s="51" t="s">
        <v>128</v>
      </c>
      <c r="F9" s="25" t="s">
        <v>81</v>
      </c>
      <c r="G9" s="25" t="s">
        <v>82</v>
      </c>
      <c r="H9" s="25" t="s">
        <v>83</v>
      </c>
      <c r="I9" s="79" t="s">
        <v>120</v>
      </c>
      <c r="J9" s="79"/>
      <c r="K9" s="80"/>
    </row>
    <row r="10" spans="1:11" ht="39" thickBot="1" x14ac:dyDescent="0.25">
      <c r="A10" s="162" t="s">
        <v>129</v>
      </c>
      <c r="B10" s="26" t="s">
        <v>130</v>
      </c>
      <c r="C10" s="25" t="s">
        <v>79</v>
      </c>
      <c r="D10" s="131" t="str">
        <f>VLOOKUP(A10,'Control Sheet'!_xlnm._FilterDatabase, 2,FALSE)</f>
        <v>Place system hardware in National Grid authorized datacenter.</v>
      </c>
      <c r="E10" s="51" t="s">
        <v>131</v>
      </c>
      <c r="F10" s="25" t="s">
        <v>81</v>
      </c>
      <c r="G10" s="25" t="s">
        <v>82</v>
      </c>
      <c r="H10" s="25" t="s">
        <v>83</v>
      </c>
      <c r="I10" s="79" t="s">
        <v>132</v>
      </c>
      <c r="J10" s="79"/>
      <c r="K10" s="80"/>
    </row>
    <row r="11" spans="1:11" ht="26.25" thickBot="1" x14ac:dyDescent="0.25">
      <c r="A11" s="162" t="s">
        <v>133</v>
      </c>
      <c r="B11" s="26" t="s">
        <v>134</v>
      </c>
      <c r="C11" s="25" t="s">
        <v>79</v>
      </c>
      <c r="D11" s="131" t="e">
        <f>VLOOKUP(A11,'Control Sheet'!_xlnm._FilterDatabase, 2,FALSE)</f>
        <v>#N/A</v>
      </c>
      <c r="E11" s="51" t="s">
        <v>227</v>
      </c>
      <c r="F11" s="25" t="s">
        <v>81</v>
      </c>
      <c r="G11" s="25" t="s">
        <v>82</v>
      </c>
      <c r="H11" s="25" t="s">
        <v>83</v>
      </c>
      <c r="I11" s="79" t="s">
        <v>103</v>
      </c>
      <c r="J11" s="79"/>
      <c r="K11" s="80"/>
    </row>
    <row r="12" spans="1:11" ht="102.75" thickBot="1" x14ac:dyDescent="0.25">
      <c r="A12" s="162" t="s">
        <v>85</v>
      </c>
      <c r="B12" s="26" t="s">
        <v>86</v>
      </c>
      <c r="C12" s="25" t="s">
        <v>87</v>
      </c>
      <c r="D12" s="131" t="str">
        <f>VLOOKUP(A12,'Control Sheet'!_xlnm._FilterDatabase, 2,FALSE)</f>
        <v>Ensure all systems deploy approved antivirus and malware defense solution</v>
      </c>
      <c r="E12" s="51" t="s">
        <v>88</v>
      </c>
      <c r="F12" s="25" t="s">
        <v>81</v>
      </c>
      <c r="G12" s="25" t="s">
        <v>82</v>
      </c>
      <c r="H12" s="25" t="s">
        <v>83</v>
      </c>
      <c r="I12" s="79" t="s">
        <v>120</v>
      </c>
      <c r="J12" s="79"/>
      <c r="K12" s="80"/>
    </row>
    <row r="13" spans="1:11" ht="179.25" thickBot="1" x14ac:dyDescent="0.25">
      <c r="A13" s="162" t="s">
        <v>89</v>
      </c>
      <c r="B13" s="26" t="s">
        <v>135</v>
      </c>
      <c r="C13" s="25"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91</v>
      </c>
      <c r="F13" s="25" t="s">
        <v>81</v>
      </c>
      <c r="G13" s="25" t="s">
        <v>82</v>
      </c>
      <c r="H13" s="25" t="s">
        <v>83</v>
      </c>
      <c r="I13" s="79" t="s">
        <v>120</v>
      </c>
      <c r="J13" s="79"/>
      <c r="K13" s="80"/>
    </row>
    <row r="14" spans="1:11" ht="26.25" thickBot="1" x14ac:dyDescent="0.25">
      <c r="A14" s="162" t="s">
        <v>96</v>
      </c>
      <c r="B14" s="26" t="s">
        <v>97</v>
      </c>
      <c r="C14" s="67" t="s">
        <v>99</v>
      </c>
      <c r="D14" s="67" t="s">
        <v>99</v>
      </c>
      <c r="E14" s="67" t="s">
        <v>98</v>
      </c>
      <c r="F14" s="67" t="s">
        <v>99</v>
      </c>
      <c r="G14" s="67" t="s">
        <v>99</v>
      </c>
      <c r="H14" s="67" t="s">
        <v>99</v>
      </c>
      <c r="I14" s="67" t="s">
        <v>98</v>
      </c>
      <c r="J14" s="79"/>
      <c r="K14" s="80"/>
    </row>
    <row r="15" spans="1:11" ht="90" thickBot="1" x14ac:dyDescent="0.25">
      <c r="A15" s="167" t="s">
        <v>100</v>
      </c>
      <c r="B15" s="26" t="s">
        <v>101</v>
      </c>
      <c r="C15" s="25" t="s">
        <v>79</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75" t="s">
        <v>102</v>
      </c>
      <c r="F15" s="25" t="s">
        <v>81</v>
      </c>
      <c r="G15" s="25" t="s">
        <v>82</v>
      </c>
      <c r="H15" s="25" t="s">
        <v>83</v>
      </c>
      <c r="I15" s="79" t="s">
        <v>103</v>
      </c>
      <c r="J15" s="79"/>
      <c r="K15" s="80"/>
    </row>
    <row r="16" spans="1:11" ht="77.25" thickBot="1" x14ac:dyDescent="0.25">
      <c r="A16" s="162" t="s">
        <v>136</v>
      </c>
      <c r="B16" s="26" t="s">
        <v>137</v>
      </c>
      <c r="C16" s="25" t="s">
        <v>79</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75" t="s">
        <v>138</v>
      </c>
      <c r="F16" s="25" t="s">
        <v>81</v>
      </c>
      <c r="G16" s="25" t="s">
        <v>82</v>
      </c>
      <c r="H16" s="25" t="s">
        <v>83</v>
      </c>
      <c r="I16" s="79" t="s">
        <v>95</v>
      </c>
      <c r="J16" s="79"/>
      <c r="K16" s="80"/>
    </row>
    <row r="17" spans="1:11" ht="26.25" thickBot="1" x14ac:dyDescent="0.25">
      <c r="A17" s="162" t="s">
        <v>139</v>
      </c>
      <c r="B17" s="26" t="s">
        <v>140</v>
      </c>
      <c r="C17" s="58" t="s">
        <v>87</v>
      </c>
      <c r="D17" s="131" t="str">
        <f>VLOOKUP(A17,'Control Sheet'!_xlnm._FilterDatabase, 2,FALSE)</f>
        <v>OS &amp; Software packages supported by vendor for 3 years (perpetual)</v>
      </c>
      <c r="E17" s="75" t="s">
        <v>141</v>
      </c>
      <c r="F17" s="25" t="s">
        <v>81</v>
      </c>
      <c r="G17" s="25" t="s">
        <v>82</v>
      </c>
      <c r="H17" s="25" t="s">
        <v>83</v>
      </c>
      <c r="I17" s="79" t="s">
        <v>141</v>
      </c>
      <c r="J17" s="79"/>
      <c r="K17" s="80"/>
    </row>
    <row r="18" spans="1:11" ht="30.75" thickBot="1" x14ac:dyDescent="0.25">
      <c r="A18" s="162" t="s">
        <v>142</v>
      </c>
      <c r="B18" s="94" t="s">
        <v>143</v>
      </c>
      <c r="C18" s="153" t="s">
        <v>79</v>
      </c>
      <c r="D18" s="131" t="str">
        <f>VLOOKUP(A18,'Control Sheet'!_xlnm._FilterDatabase, 2,FALSE)</f>
        <v>Production, and non-production environments should be segregated </v>
      </c>
      <c r="E18" s="127" t="s">
        <v>141</v>
      </c>
      <c r="F18" s="25" t="s">
        <v>81</v>
      </c>
      <c r="G18" s="25" t="s">
        <v>82</v>
      </c>
      <c r="H18" s="25" t="s">
        <v>83</v>
      </c>
      <c r="I18" s="79" t="s">
        <v>141</v>
      </c>
      <c r="J18" s="79"/>
      <c r="K18" s="80"/>
    </row>
    <row r="19" spans="1:11" ht="30.75" thickBot="1" x14ac:dyDescent="0.25">
      <c r="A19" s="162" t="s">
        <v>144</v>
      </c>
      <c r="B19" s="94" t="s">
        <v>145</v>
      </c>
      <c r="C19" s="154" t="s">
        <v>79</v>
      </c>
      <c r="D19" s="131" t="str">
        <f>VLOOKUP(A19,'Control Sheet'!_xlnm._FilterDatabase, 2,FALSE)</f>
        <v>Development Environments cannot be exposed to the internet </v>
      </c>
      <c r="E19" s="127" t="s">
        <v>141</v>
      </c>
      <c r="F19" s="25" t="s">
        <v>81</v>
      </c>
      <c r="G19" s="25" t="s">
        <v>82</v>
      </c>
      <c r="H19" s="25" t="s">
        <v>83</v>
      </c>
      <c r="I19" s="79" t="s">
        <v>141</v>
      </c>
      <c r="J19" s="79"/>
      <c r="K19" s="80"/>
    </row>
    <row r="20" spans="1:11" ht="39" thickBot="1" x14ac:dyDescent="0.25">
      <c r="A20" s="162" t="s">
        <v>146</v>
      </c>
      <c r="B20" s="94" t="s">
        <v>147</v>
      </c>
      <c r="C20" s="154" t="s">
        <v>79</v>
      </c>
      <c r="D20" s="131" t="str">
        <f>VLOOKUP(A20,'Control Sheet'!_xlnm._FilterDatabase, 2,FALSE)</f>
        <v>UAT Environments should only be exposed to the internet if full production controls are in place </v>
      </c>
      <c r="E20" s="127" t="s">
        <v>141</v>
      </c>
      <c r="F20" s="25" t="s">
        <v>81</v>
      </c>
      <c r="G20" s="25" t="s">
        <v>82</v>
      </c>
      <c r="H20" s="25" t="s">
        <v>83</v>
      </c>
      <c r="I20" s="79" t="s">
        <v>141</v>
      </c>
      <c r="J20" s="79"/>
      <c r="K20" s="80"/>
    </row>
    <row r="21" spans="1:11" ht="64.5" thickBot="1" x14ac:dyDescent="0.25">
      <c r="A21" s="162" t="s">
        <v>148</v>
      </c>
      <c r="B21" s="94" t="s">
        <v>149</v>
      </c>
      <c r="C21" s="154" t="s">
        <v>79</v>
      </c>
      <c r="D21" s="131" t="str">
        <f>VLOOKUP(A21,'Control Sheet'!_xlnm._FilterDatabase, 2,FALSE)</f>
        <v>Non-Production environments will not have production data especially personally identifiable information without obfuscation or anonymization </v>
      </c>
      <c r="E21" s="127" t="s">
        <v>141</v>
      </c>
      <c r="F21" s="25" t="s">
        <v>81</v>
      </c>
      <c r="G21" s="25" t="s">
        <v>82</v>
      </c>
      <c r="H21" s="25" t="s">
        <v>83</v>
      </c>
      <c r="I21" s="79" t="s">
        <v>141</v>
      </c>
      <c r="J21" s="8"/>
    </row>
    <row r="22" spans="1:11" ht="39" thickBot="1" x14ac:dyDescent="0.25">
      <c r="A22" s="162" t="s">
        <v>77</v>
      </c>
      <c r="B22" s="24" t="s">
        <v>78</v>
      </c>
      <c r="C22" s="25" t="s">
        <v>79</v>
      </c>
      <c r="D22" s="131" t="str">
        <f>VLOOKUP(A22,'Control Sheet'!_xlnm._FilterDatabase, 2,FALSE)</f>
        <v>Enable disk encryption using NG approved tool and apply recommended settings</v>
      </c>
      <c r="E22" s="51" t="s">
        <v>80</v>
      </c>
      <c r="F22" s="25" t="s">
        <v>81</v>
      </c>
      <c r="G22" s="25" t="s">
        <v>82</v>
      </c>
      <c r="H22" s="25" t="s">
        <v>83</v>
      </c>
      <c r="I22" s="79" t="s">
        <v>84</v>
      </c>
      <c r="J22" s="8"/>
    </row>
    <row r="23" spans="1:11" ht="64.5" thickBot="1" x14ac:dyDescent="0.25">
      <c r="A23" s="162" t="s">
        <v>150</v>
      </c>
      <c r="B23" s="26" t="s">
        <v>151</v>
      </c>
      <c r="C23" s="58" t="s">
        <v>87</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152</v>
      </c>
      <c r="F23" s="25" t="s">
        <v>81</v>
      </c>
      <c r="G23" s="25" t="s">
        <v>82</v>
      </c>
      <c r="H23" s="25" t="s">
        <v>83</v>
      </c>
      <c r="I23" s="79" t="s">
        <v>153</v>
      </c>
      <c r="J23" s="8"/>
    </row>
    <row r="24" spans="1:11" ht="90" thickBot="1" x14ac:dyDescent="0.25">
      <c r="A24" s="168" t="s">
        <v>154</v>
      </c>
      <c r="B24" s="89" t="s">
        <v>155</v>
      </c>
      <c r="C24" s="25" t="s">
        <v>79</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152</v>
      </c>
      <c r="F24" s="25" t="s">
        <v>81</v>
      </c>
      <c r="G24" s="25" t="s">
        <v>82</v>
      </c>
      <c r="H24" s="25" t="s">
        <v>83</v>
      </c>
      <c r="I24" s="79" t="s">
        <v>153</v>
      </c>
      <c r="J24" s="8"/>
    </row>
    <row r="25" spans="1:11" ht="12.75" x14ac:dyDescent="0.2">
      <c r="D25" s="227" t="s">
        <v>108</v>
      </c>
      <c r="E25" s="26" t="s">
        <v>109</v>
      </c>
      <c r="F25" s="39">
        <f>COUNTIFS($F$5:$F$24,"Completed")</f>
        <v>0</v>
      </c>
      <c r="G25" s="39">
        <f>COUNTIFS($G$5:$G$24,"YES")</f>
        <v>0</v>
      </c>
      <c r="H25" s="102"/>
      <c r="J25" s="8"/>
    </row>
    <row r="26" spans="1:11" ht="12.75" x14ac:dyDescent="0.2">
      <c r="D26" s="228"/>
      <c r="E26" s="26" t="s">
        <v>110</v>
      </c>
      <c r="F26" s="39">
        <f>COUNTIFS($F$5:$F$24,"Not started")</f>
        <v>19</v>
      </c>
      <c r="G26" s="39">
        <f>COUNTIFS($G$5:$G$24,"TBC")</f>
        <v>19</v>
      </c>
      <c r="H26" s="102"/>
      <c r="J26" s="8"/>
    </row>
    <row r="27" spans="1:11" ht="12.75" x14ac:dyDescent="0.2">
      <c r="D27" s="228"/>
      <c r="E27" s="26" t="s">
        <v>99</v>
      </c>
      <c r="F27" s="39">
        <f>COUNTIFS($F$5:$F$24,"NOT APPLICABLE")</f>
        <v>1</v>
      </c>
      <c r="G27" s="39">
        <f>COUNTIFS($G$5:$G$24,"NOT APPLICABLE")</f>
        <v>1</v>
      </c>
      <c r="H27" s="102"/>
      <c r="J27" s="8"/>
    </row>
    <row r="28" spans="1:11" ht="12.75" x14ac:dyDescent="0.2">
      <c r="D28" s="228"/>
      <c r="E28" s="26" t="s">
        <v>111</v>
      </c>
      <c r="F28" s="39">
        <f>COUNTIFS($F$5:$F$24,"IN PROGRESS")</f>
        <v>0</v>
      </c>
      <c r="G28" s="39">
        <f>COUNTIFS($G$5:$G$24,"IN PROGRESS")</f>
        <v>0</v>
      </c>
      <c r="H28" s="102"/>
      <c r="J28" s="8"/>
    </row>
    <row r="29" spans="1:11" ht="12.75" x14ac:dyDescent="0.2">
      <c r="D29" s="228"/>
      <c r="E29" s="26" t="s">
        <v>112</v>
      </c>
      <c r="F29" s="97">
        <f>SUM(F25:F28)</f>
        <v>20</v>
      </c>
      <c r="G29" s="97">
        <f>SUM(G25:G28)</f>
        <v>20</v>
      </c>
      <c r="H29" s="103"/>
      <c r="J29" s="8"/>
    </row>
    <row r="30" spans="1:11" ht="12.75" x14ac:dyDescent="0.2">
      <c r="J30" s="8"/>
    </row>
    <row r="31" spans="1:11" ht="12.75" x14ac:dyDescent="0.2">
      <c r="J31" s="8"/>
    </row>
  </sheetData>
  <mergeCells count="3">
    <mergeCell ref="C1:D1"/>
    <mergeCell ref="D25:D29"/>
    <mergeCell ref="B2:K2"/>
  </mergeCells>
  <hyperlinks>
    <hyperlink ref="J4" r:id="rId1" xr:uid="{F576DDD1-7597-4338-8C7B-8D19B21E5E23}"/>
    <hyperlink ref="A22" r:id="rId2" xr:uid="{C0D5D355-A735-4525-BE18-9B00C60E7F58}"/>
    <hyperlink ref="A12" r:id="rId3" xr:uid="{43A4EC35-C3F9-4ACB-8852-5C44A741684D}"/>
    <hyperlink ref="A13" r:id="rId4" xr:uid="{930EC353-C31E-419F-A0DD-62534D9CFCD2}"/>
    <hyperlink ref="A14" r:id="rId5" xr:uid="{4A7C2681-6476-43EE-A6C6-EAC4FF8731B2}"/>
    <hyperlink ref="A9" r:id="rId6" xr:uid="{59D02A9E-1384-4AF7-BC3C-F857D6A665FA}"/>
    <hyperlink ref="A5" r:id="rId7" xr:uid="{EF3E1CD2-B309-4870-98C7-153269EB73E6}"/>
    <hyperlink ref="A6" r:id="rId8" xr:uid="{99D6CB7B-FD4A-45AD-B0A2-53990BBED6FB}"/>
    <hyperlink ref="A7" r:id="rId9" xr:uid="{6481006F-E750-4960-8ECD-53256CD80077}"/>
    <hyperlink ref="A8" r:id="rId10" xr:uid="{CDE7A379-455F-416D-B57E-E97F27B303FB}"/>
    <hyperlink ref="A10" r:id="rId11" xr:uid="{40486624-52AF-45AB-B0E0-1EB186BC6FBF}"/>
    <hyperlink ref="A11" r:id="rId12" xr:uid="{A36417BA-1BFC-4BA8-B867-DB60A25B61F6}"/>
    <hyperlink ref="A18" r:id="rId13" display="BSR-ENV-1.1 " xr:uid="{E81934C1-9EED-4AE7-8A1D-02F20C9649E7}"/>
    <hyperlink ref="A19" r:id="rId14" display="BSR-ENV-1.2 " xr:uid="{9E4EB3F4-7925-45B8-B8E3-9D8BD4B18FF6}"/>
    <hyperlink ref="A20" r:id="rId15" display="BSR-ENV-1.3 " xr:uid="{FF516574-9C72-486E-8FCF-82D4FF5F3C1F}"/>
    <hyperlink ref="A21" r:id="rId16" display="BSR-ENV-1.4 " xr:uid="{7F8CCD0F-8320-4FDD-8B1F-464AF7BC82B3}"/>
    <hyperlink ref="A16" r:id="rId17" xr:uid="{589BDAD5-57FD-4B5F-927F-32F7C63E679A}"/>
    <hyperlink ref="A15" r:id="rId18" xr:uid="{130BB67C-B78F-4C88-9270-87B3B9A42723}"/>
    <hyperlink ref="A23" r:id="rId19" xr:uid="{5C6A33D8-E86C-4B77-9963-A3C0BC43F23B}"/>
    <hyperlink ref="A24" r:id="rId20" xr:uid="{D16B3869-EC23-4F19-97B5-277DBA151C6D}"/>
    <hyperlink ref="A17" r:id="rId21" xr:uid="{FAE5D009-A72E-46E4-92D7-9AA6A623EED4}"/>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10">
        <x14:dataValidation type="list" showInputMessage="1" showErrorMessage="1" xr:uid="{28337CA6-657A-4CE3-A81A-558EE93B22C0}">
          <x14:formula1>
            <xm:f>Variables!$A$2:$A$4</xm:f>
          </x14:formula1>
          <xm:sqref>C5:C16</xm:sqref>
        </x14:dataValidation>
        <x14:dataValidation type="list" showInputMessage="1" showErrorMessage="1" xr:uid="{700AA63D-50A4-4C7A-97E2-21EFAB104C06}">
          <x14:formula1>
            <xm:f>Variables!$I$2:$I$5</xm:f>
          </x14:formula1>
          <xm:sqref>G14 F5:F16</xm:sqref>
        </x14:dataValidation>
        <x14:dataValidation type="list" showInputMessage="1" showErrorMessage="1" xr:uid="{33D20A1B-CD2C-46D0-884E-554FAEC91C6C}">
          <x14:formula1>
            <xm:f>Variables!$J$2:$J$5</xm:f>
          </x14:formula1>
          <xm:sqref>G5:G13 G15:G16</xm:sqref>
        </x14:dataValidation>
        <x14:dataValidation type="list" showInputMessage="1" showErrorMessage="1" xr:uid="{30409808-1684-4087-975F-E806DB998FBA}">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2CEFD4CA-1965-4CD0-94AB-829964C497CA}">
          <x14:formula1>
            <xm:f>Variables!#REF!</xm:f>
          </x14:formula1>
          <xm:sqref>C22:C23 G23:H23</xm:sqref>
        </x14:dataValidation>
        <x14:dataValidation type="list" showInputMessage="1" showErrorMessage="1" xr:uid="{63703E3E-68DA-4534-9B58-7B27C837C872}">
          <x14:formula1>
            <xm:f>Variables!#REF!</xm:f>
          </x14:formula1>
          <xm:sqref>G24:H24 G22:H22</xm:sqref>
        </x14:dataValidation>
        <x14:dataValidation type="list" allowBlank="1" showInputMessage="1" showErrorMessage="1" xr:uid="{FE467B84-B01F-4730-83BF-5845D82BFD9D}">
          <x14:formula1>
            <xm:f>Variables!$L$2:$L$4</xm:f>
          </x14:formula1>
          <xm:sqref>H5:H21</xm:sqref>
        </x14:dataValidation>
        <x14:dataValidation type="list" allowBlank="1" showInputMessage="1" showErrorMessage="1" xr:uid="{446F2DC7-3712-4DE5-9497-FEA15896B506}">
          <x14:formula1>
            <xm:f>Variables!$J$2:$J$5</xm:f>
          </x14:formula1>
          <xm:sqref>G17:G21</xm:sqref>
        </x14:dataValidation>
        <x14:dataValidation type="list" allowBlank="1" showInputMessage="1" showErrorMessage="1" xr:uid="{28D6AA90-17B7-430A-803C-11C3C625AC6B}">
          <x14:formula1>
            <xm:f>Variables!$I$2:$I$5</xm:f>
          </x14:formula1>
          <xm:sqref>F17:F24</xm:sqref>
        </x14:dataValidation>
        <x14:dataValidation type="list" allowBlank="1" showInputMessage="1" showErrorMessage="1" xr:uid="{C5AE2653-08AA-44A0-8F88-F7023854055B}">
          <x14:formula1>
            <xm:f>Variables!$A$2:$A$4</xm:f>
          </x14:formula1>
          <xm:sqref>C17:C21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0D7AB-6659-48C4-9AAE-1C05F3403CBA}">
  <sheetPr codeName="Sheet13">
    <tabColor rgb="FF78A22F"/>
  </sheetPr>
  <dimension ref="A1:K34"/>
  <sheetViews>
    <sheetView showGridLines="0" zoomScaleNormal="100" workbookViewId="0">
      <selection activeCell="D5" sqref="D5"/>
    </sheetView>
  </sheetViews>
  <sheetFormatPr defaultColWidth="9.140625" defaultRowHeight="28.5" customHeight="1" x14ac:dyDescent="0.25"/>
  <cols>
    <col min="1" max="1" width="13.140625" style="157" customWidth="1"/>
    <col min="2" max="2" width="17.5703125" style="8" customWidth="1"/>
    <col min="3" max="3" width="18.5703125" style="8" customWidth="1"/>
    <col min="4" max="4" width="33.5703125" style="8" customWidth="1"/>
    <col min="5" max="5" width="18.5703125" style="8" customWidth="1"/>
    <col min="6" max="6" width="17" style="8" bestFit="1" customWidth="1"/>
    <col min="7" max="7" width="22.5703125" style="8" customWidth="1"/>
    <col min="8" max="8" width="26.42578125" style="9" bestFit="1" customWidth="1"/>
    <col min="9" max="9" width="34.5703125" style="8" bestFit="1" customWidth="1"/>
    <col min="10" max="10" width="26.5703125" style="93" customWidth="1"/>
    <col min="11" max="11" width="35.5703125" style="8" customWidth="1"/>
    <col min="12" max="16384" width="9.140625" style="8"/>
  </cols>
  <sheetData>
    <row r="1" spans="1:11" ht="12.75" x14ac:dyDescent="0.2">
      <c r="C1" s="226"/>
      <c r="D1" s="226"/>
      <c r="E1" s="173"/>
      <c r="F1" s="9"/>
      <c r="G1" s="9"/>
      <c r="J1" s="8"/>
    </row>
    <row r="2" spans="1:11" ht="18" x14ac:dyDescent="0.25">
      <c r="B2" s="225" t="s">
        <v>156</v>
      </c>
      <c r="C2" s="225"/>
      <c r="D2" s="225"/>
      <c r="E2" s="225"/>
      <c r="F2" s="225"/>
      <c r="G2" s="225"/>
      <c r="H2" s="225"/>
      <c r="I2" s="225"/>
      <c r="J2" s="225"/>
      <c r="K2" s="225"/>
    </row>
    <row r="3" spans="1:11" ht="12.75" x14ac:dyDescent="0.2">
      <c r="H3" s="8"/>
      <c r="J3" s="8"/>
    </row>
    <row r="4" spans="1:11" ht="52.35" customHeight="1" thickBot="1" x14ac:dyDescent="0.25">
      <c r="A4" s="85" t="s">
        <v>66</v>
      </c>
      <c r="B4" s="50" t="s">
        <v>67</v>
      </c>
      <c r="C4" s="50" t="s">
        <v>68</v>
      </c>
      <c r="D4" s="50" t="s">
        <v>69</v>
      </c>
      <c r="E4" s="50" t="s">
        <v>70</v>
      </c>
      <c r="F4" s="50" t="s">
        <v>71</v>
      </c>
      <c r="G4" s="50" t="s">
        <v>226</v>
      </c>
      <c r="H4" s="50" t="s">
        <v>73</v>
      </c>
      <c r="I4" s="50" t="s">
        <v>74</v>
      </c>
      <c r="J4" s="113" t="s">
        <v>75</v>
      </c>
      <c r="K4" s="50" t="s">
        <v>76</v>
      </c>
    </row>
    <row r="5" spans="1:11" ht="64.5" thickBot="1" x14ac:dyDescent="0.25">
      <c r="A5" s="162" t="s">
        <v>114</v>
      </c>
      <c r="B5" s="24" t="s">
        <v>115</v>
      </c>
      <c r="C5" s="58" t="s">
        <v>87</v>
      </c>
      <c r="D5" s="131" t="str">
        <f>VLOOKUP(A5,'Control Sheet'!_xlnm._FilterDatabase, 2,FALSE)</f>
        <v>Perform a monthly vulnerability scan. 
Remediate severity 4 and 5 vulnerabilities within two days of discovery and severity 3 vulnerabilities within seven days (TBC).</v>
      </c>
      <c r="E5" s="51" t="s">
        <v>116</v>
      </c>
      <c r="F5" s="25" t="s">
        <v>81</v>
      </c>
      <c r="G5" s="25" t="s">
        <v>82</v>
      </c>
      <c r="H5" s="25" t="s">
        <v>83</v>
      </c>
      <c r="I5" s="79" t="s">
        <v>95</v>
      </c>
      <c r="J5" s="79"/>
      <c r="K5" s="80"/>
    </row>
    <row r="6" spans="1:11" ht="39" thickBot="1" x14ac:dyDescent="0.25">
      <c r="A6" s="162" t="s">
        <v>117</v>
      </c>
      <c r="B6" s="24" t="s">
        <v>118</v>
      </c>
      <c r="C6" s="58" t="s">
        <v>79</v>
      </c>
      <c r="D6" s="131" t="str">
        <f>VLOOKUP(A6,'Control Sheet'!_xlnm._FilterDatabase, 2,FALSE)</f>
        <v>Enable host-based firewall in default deny mode and permit the Baseline necessary services.</v>
      </c>
      <c r="E6" s="51" t="s">
        <v>119</v>
      </c>
      <c r="F6" s="25" t="s">
        <v>81</v>
      </c>
      <c r="G6" s="25" t="s">
        <v>82</v>
      </c>
      <c r="H6" s="25" t="s">
        <v>83</v>
      </c>
      <c r="I6" s="79" t="s">
        <v>157</v>
      </c>
      <c r="J6" s="79"/>
      <c r="K6" s="80"/>
    </row>
    <row r="7" spans="1:11" ht="102.75" thickBot="1" x14ac:dyDescent="0.25">
      <c r="A7" s="162" t="s">
        <v>121</v>
      </c>
      <c r="B7" s="24" t="s">
        <v>122</v>
      </c>
      <c r="C7" s="58"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51.75" thickBot="1" x14ac:dyDescent="0.25">
      <c r="A8" s="162" t="s">
        <v>158</v>
      </c>
      <c r="B8" s="26" t="s">
        <v>159</v>
      </c>
      <c r="C8" s="58" t="s">
        <v>79</v>
      </c>
      <c r="D8" s="131" t="str">
        <f>VLOOKUP(A8,'Control Sheet'!_xlnm._FilterDatabase, 2,FALSE)</f>
        <v>Define and document roles and responsibilities.  Ensure separation of duties.</v>
      </c>
      <c r="E8" s="75" t="s">
        <v>160</v>
      </c>
      <c r="F8" s="25" t="s">
        <v>81</v>
      </c>
      <c r="G8" s="25" t="s">
        <v>82</v>
      </c>
      <c r="H8" s="25" t="s">
        <v>83</v>
      </c>
      <c r="I8" s="79" t="s">
        <v>103</v>
      </c>
      <c r="J8" s="79"/>
      <c r="K8" s="80"/>
    </row>
    <row r="9" spans="1:11" ht="39" thickBot="1" x14ac:dyDescent="0.25">
      <c r="A9" s="162" t="s">
        <v>161</v>
      </c>
      <c r="B9" s="26" t="s">
        <v>162</v>
      </c>
      <c r="C9" s="58" t="s">
        <v>79</v>
      </c>
      <c r="D9" s="131" t="str">
        <f>VLOOKUP(A9,'Control Sheet'!_xlnm._FilterDatabase, 2,FALSE)</f>
        <v>Require multi-factor authentication for all interactive application logins off-network</v>
      </c>
      <c r="E9" s="75" t="s">
        <v>163</v>
      </c>
      <c r="F9" s="25" t="s">
        <v>81</v>
      </c>
      <c r="G9" s="25" t="s">
        <v>82</v>
      </c>
      <c r="H9" s="25" t="s">
        <v>83</v>
      </c>
      <c r="I9" s="79" t="s">
        <v>103</v>
      </c>
      <c r="J9" s="79"/>
      <c r="K9" s="80"/>
    </row>
    <row r="10" spans="1:11" ht="77.25" thickBot="1" x14ac:dyDescent="0.25">
      <c r="A10" s="162" t="s">
        <v>124</v>
      </c>
      <c r="B10" s="26" t="s">
        <v>125</v>
      </c>
      <c r="C10" s="58" t="s">
        <v>87</v>
      </c>
      <c r="D10" s="131" t="str">
        <f>VLOOKUP(A10,'Control Sheet'!_xlnm._FilterDatabase, 2,FALSE)</f>
        <v>Forward logs to a remote log server. Logs should be made available to NG CSOC</v>
      </c>
      <c r="E10" s="75" t="s">
        <v>228</v>
      </c>
      <c r="F10" s="25" t="s">
        <v>81</v>
      </c>
      <c r="G10" s="25" t="s">
        <v>82</v>
      </c>
      <c r="H10" s="25" t="s">
        <v>83</v>
      </c>
      <c r="I10" s="79" t="s">
        <v>127</v>
      </c>
      <c r="J10" s="79"/>
      <c r="K10" s="80"/>
    </row>
    <row r="11" spans="1:11" ht="64.5" thickBot="1" x14ac:dyDescent="0.25">
      <c r="A11" s="162" t="s">
        <v>164</v>
      </c>
      <c r="B11" s="26" t="s">
        <v>165</v>
      </c>
      <c r="C11" s="58" t="s">
        <v>79</v>
      </c>
      <c r="D11" s="131" t="str">
        <f>VLOOKUP(A11,'Control Sheet'!_xlnm._FilterDatabase, 2,FALSE)</f>
        <v>Include security as a design requirement. Review all code and correctly identified security flaws prior to deployment. Use of static code analysis tools recommended.</v>
      </c>
      <c r="E11" s="51" t="s">
        <v>166</v>
      </c>
      <c r="F11" s="25" t="s">
        <v>81</v>
      </c>
      <c r="G11" s="25" t="s">
        <v>82</v>
      </c>
      <c r="H11" s="25" t="s">
        <v>83</v>
      </c>
      <c r="I11" s="79" t="s">
        <v>95</v>
      </c>
      <c r="J11" s="79"/>
      <c r="K11" s="80"/>
    </row>
    <row r="12" spans="1:11" ht="26.25" thickBot="1" x14ac:dyDescent="0.25">
      <c r="A12" s="162" t="s">
        <v>133</v>
      </c>
      <c r="B12" s="26" t="s">
        <v>134</v>
      </c>
      <c r="C12" s="58" t="s">
        <v>79</v>
      </c>
      <c r="D12" s="131" t="e">
        <f>VLOOKUP(A12,'Control Sheet'!_xlnm._FilterDatabase, 2,FALSE)</f>
        <v>#N/A</v>
      </c>
      <c r="E12" s="51" t="s">
        <v>227</v>
      </c>
      <c r="F12" s="25" t="s">
        <v>81</v>
      </c>
      <c r="G12" s="25" t="s">
        <v>82</v>
      </c>
      <c r="H12" s="25" t="s">
        <v>83</v>
      </c>
      <c r="I12" s="79" t="s">
        <v>103</v>
      </c>
      <c r="J12" s="79"/>
      <c r="K12" s="80"/>
    </row>
    <row r="13" spans="1:11" ht="179.25" thickBot="1" x14ac:dyDescent="0.25">
      <c r="A13" s="162" t="s">
        <v>89</v>
      </c>
      <c r="B13" s="26" t="s">
        <v>167</v>
      </c>
      <c r="C13" s="58"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91</v>
      </c>
      <c r="F13" s="25" t="s">
        <v>81</v>
      </c>
      <c r="G13" s="25" t="s">
        <v>82</v>
      </c>
      <c r="H13" s="25" t="s">
        <v>83</v>
      </c>
      <c r="I13" s="79" t="s">
        <v>120</v>
      </c>
      <c r="J13" s="79"/>
      <c r="K13" s="80"/>
    </row>
    <row r="14" spans="1:11" ht="77.25" thickBot="1" x14ac:dyDescent="0.25">
      <c r="A14" s="162" t="s">
        <v>168</v>
      </c>
      <c r="B14" s="26" t="s">
        <v>169</v>
      </c>
      <c r="C14" s="58" t="s">
        <v>87</v>
      </c>
      <c r="D14" s="131" t="str">
        <f>VLOOKUP(A14,'Control Sheet'!_xlnm._FilterDatabase, 2,FALSE)</f>
        <v>Establish an incident response plan and train stakeholders periodically</v>
      </c>
      <c r="E14" s="78" t="s">
        <v>229</v>
      </c>
      <c r="F14" s="25" t="s">
        <v>81</v>
      </c>
      <c r="G14" s="25" t="s">
        <v>82</v>
      </c>
      <c r="H14" s="25" t="s">
        <v>83</v>
      </c>
      <c r="I14" s="79" t="s">
        <v>230</v>
      </c>
      <c r="J14" s="79"/>
      <c r="K14" s="80"/>
    </row>
    <row r="15" spans="1:11" ht="128.25" thickBot="1" x14ac:dyDescent="0.25">
      <c r="A15" s="162" t="s">
        <v>96</v>
      </c>
      <c r="B15" s="26" t="s">
        <v>97</v>
      </c>
      <c r="C15" s="58" t="s">
        <v>79</v>
      </c>
      <c r="D15" s="131" t="str">
        <f>VLOOKUP(A15,'Control Sheet'!_xlnm._FilterDatabase, 2,FALSE)</f>
        <v>Follow all regulatory data controls as applicable (NIST 800-171, PCI DSS, GDPR, etc.).</v>
      </c>
      <c r="E15" s="75" t="s">
        <v>170</v>
      </c>
      <c r="F15" s="25" t="s">
        <v>81</v>
      </c>
      <c r="G15" s="25" t="s">
        <v>82</v>
      </c>
      <c r="H15" s="25" t="s">
        <v>83</v>
      </c>
      <c r="I15" s="79" t="s">
        <v>171</v>
      </c>
      <c r="J15" s="79"/>
      <c r="K15" s="80"/>
    </row>
    <row r="16" spans="1:11" ht="64.5" thickBot="1" x14ac:dyDescent="0.25">
      <c r="A16" s="162" t="s">
        <v>150</v>
      </c>
      <c r="B16" s="26" t="s">
        <v>151</v>
      </c>
      <c r="C16" s="58" t="s">
        <v>87</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152</v>
      </c>
      <c r="F16" s="25" t="s">
        <v>81</v>
      </c>
      <c r="G16" s="25" t="s">
        <v>82</v>
      </c>
      <c r="H16" s="25" t="s">
        <v>83</v>
      </c>
      <c r="I16" s="79" t="s">
        <v>153</v>
      </c>
      <c r="J16" s="79"/>
      <c r="K16" s="80"/>
    </row>
    <row r="17" spans="1:11" ht="90" thickBot="1" x14ac:dyDescent="0.25">
      <c r="A17" s="162" t="s">
        <v>172</v>
      </c>
      <c r="B17" s="26" t="s">
        <v>173</v>
      </c>
      <c r="C17" s="58" t="s">
        <v>79</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174</v>
      </c>
      <c r="F17" s="25" t="s">
        <v>81</v>
      </c>
      <c r="G17" s="25" t="s">
        <v>82</v>
      </c>
      <c r="H17" s="25" t="s">
        <v>83</v>
      </c>
      <c r="I17" s="79" t="s">
        <v>103</v>
      </c>
      <c r="J17" s="79"/>
      <c r="K17" s="80"/>
    </row>
    <row r="18" spans="1:11" ht="77.25" thickBot="1" x14ac:dyDescent="0.25">
      <c r="A18" s="162" t="s">
        <v>136</v>
      </c>
      <c r="B18" s="26" t="s">
        <v>175</v>
      </c>
      <c r="C18" s="58" t="s">
        <v>79</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75" t="s">
        <v>138</v>
      </c>
      <c r="F18" s="25" t="s">
        <v>81</v>
      </c>
      <c r="G18" s="25" t="s">
        <v>82</v>
      </c>
      <c r="H18" s="25" t="s">
        <v>83</v>
      </c>
      <c r="I18" s="79" t="s">
        <v>95</v>
      </c>
      <c r="J18" s="79"/>
      <c r="K18" s="80"/>
    </row>
    <row r="19" spans="1:11" ht="77.25" thickBot="1" x14ac:dyDescent="0.25">
      <c r="A19" s="162" t="s">
        <v>176</v>
      </c>
      <c r="B19" s="26" t="s">
        <v>177</v>
      </c>
      <c r="C19" s="58" t="s">
        <v>79</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178</v>
      </c>
      <c r="F19" s="25" t="s">
        <v>81</v>
      </c>
      <c r="G19" s="25" t="s">
        <v>82</v>
      </c>
      <c r="H19" s="25" t="s">
        <v>83</v>
      </c>
      <c r="I19" s="79" t="s">
        <v>103</v>
      </c>
      <c r="J19" s="79"/>
      <c r="K19" s="80"/>
    </row>
    <row r="20" spans="1:11" ht="51.75" thickBot="1" x14ac:dyDescent="0.25">
      <c r="A20" s="162" t="s">
        <v>179</v>
      </c>
      <c r="B20" s="26" t="s">
        <v>180</v>
      </c>
      <c r="C20" s="58" t="s">
        <v>79</v>
      </c>
      <c r="D20" s="131" t="str">
        <f>VLOOKUP(A20,'Control Sheet'!_xlnm._FilterDatabase, 2,FALSE)</f>
        <v>All vendors providing SCADA-like application must provide an SDLA-312 certification</v>
      </c>
      <c r="E20" s="51" t="s">
        <v>181</v>
      </c>
      <c r="F20" s="25" t="s">
        <v>81</v>
      </c>
      <c r="G20" s="25" t="s">
        <v>82</v>
      </c>
      <c r="H20" s="25" t="s">
        <v>83</v>
      </c>
      <c r="I20" s="79" t="s">
        <v>171</v>
      </c>
      <c r="J20" s="79"/>
      <c r="K20" s="80"/>
    </row>
    <row r="21" spans="1:11" ht="26.25" thickBot="1" x14ac:dyDescent="0.25">
      <c r="A21" s="162" t="s">
        <v>142</v>
      </c>
      <c r="B21" s="94" t="s">
        <v>143</v>
      </c>
      <c r="C21" s="153" t="s">
        <v>79</v>
      </c>
      <c r="D21" s="131" t="str">
        <f>VLOOKUP(A21,'Control Sheet'!_xlnm._FilterDatabase, 2,FALSE)</f>
        <v>Production, and non-production environments should be segregated </v>
      </c>
      <c r="E21" s="51" t="s">
        <v>141</v>
      </c>
      <c r="F21" s="25" t="s">
        <v>81</v>
      </c>
      <c r="G21" s="25" t="s">
        <v>82</v>
      </c>
      <c r="H21" s="25" t="s">
        <v>83</v>
      </c>
      <c r="I21" s="79" t="s">
        <v>141</v>
      </c>
      <c r="J21" s="79"/>
      <c r="K21" s="80"/>
    </row>
    <row r="22" spans="1:11" ht="26.25" thickBot="1" x14ac:dyDescent="0.25">
      <c r="A22" s="162" t="s">
        <v>144</v>
      </c>
      <c r="B22" s="94" t="s">
        <v>145</v>
      </c>
      <c r="C22" s="154" t="s">
        <v>79</v>
      </c>
      <c r="D22" s="131" t="str">
        <f>VLOOKUP(A22,'Control Sheet'!_xlnm._FilterDatabase, 2,FALSE)</f>
        <v>Development Environments cannot be exposed to the internet </v>
      </c>
      <c r="E22" s="51" t="s">
        <v>141</v>
      </c>
      <c r="F22" s="25" t="s">
        <v>81</v>
      </c>
      <c r="G22" s="25" t="s">
        <v>82</v>
      </c>
      <c r="H22" s="25" t="s">
        <v>83</v>
      </c>
      <c r="I22" s="79" t="s">
        <v>141</v>
      </c>
      <c r="J22" s="79"/>
      <c r="K22" s="80"/>
    </row>
    <row r="23" spans="1:11" ht="39" thickBot="1" x14ac:dyDescent="0.25">
      <c r="A23" s="162" t="s">
        <v>146</v>
      </c>
      <c r="B23" s="94" t="s">
        <v>147</v>
      </c>
      <c r="C23" s="154" t="s">
        <v>79</v>
      </c>
      <c r="D23" s="131" t="str">
        <f>VLOOKUP(A23,'Control Sheet'!_xlnm._FilterDatabase, 2,FALSE)</f>
        <v>UAT Environments should only be exposed to the internet if full production controls are in place </v>
      </c>
      <c r="E23" s="51" t="s">
        <v>141</v>
      </c>
      <c r="F23" s="25" t="s">
        <v>81</v>
      </c>
      <c r="G23" s="25" t="s">
        <v>82</v>
      </c>
      <c r="H23" s="25" t="s">
        <v>83</v>
      </c>
      <c r="I23" s="79" t="s">
        <v>141</v>
      </c>
      <c r="J23" s="79"/>
      <c r="K23" s="80"/>
    </row>
    <row r="24" spans="1:11" ht="64.5" thickBot="1" x14ac:dyDescent="0.25">
      <c r="A24" s="162" t="s">
        <v>148</v>
      </c>
      <c r="B24" s="94" t="s">
        <v>149</v>
      </c>
      <c r="C24" s="154" t="s">
        <v>79</v>
      </c>
      <c r="D24" s="131" t="str">
        <f>VLOOKUP(A24,'Control Sheet'!_xlnm._FilterDatabase, 2,FALSE)</f>
        <v>Non-Production environments will not have production data especially personally identifiable information without obfuscation or anonymization </v>
      </c>
      <c r="E24" s="51" t="s">
        <v>141</v>
      </c>
      <c r="F24" s="25" t="s">
        <v>81</v>
      </c>
      <c r="G24" s="25" t="s">
        <v>82</v>
      </c>
      <c r="H24" s="25" t="s">
        <v>83</v>
      </c>
      <c r="I24" s="79" t="s">
        <v>141</v>
      </c>
      <c r="J24" s="8"/>
    </row>
    <row r="25" spans="1:11" ht="90" thickBot="1" x14ac:dyDescent="0.25">
      <c r="A25" s="168" t="s">
        <v>154</v>
      </c>
      <c r="B25" s="89" t="s">
        <v>155</v>
      </c>
      <c r="C25" s="25" t="s">
        <v>79</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152</v>
      </c>
      <c r="F25" s="25" t="s">
        <v>81</v>
      </c>
      <c r="G25" s="25" t="s">
        <v>82</v>
      </c>
      <c r="H25" s="25" t="s">
        <v>83</v>
      </c>
      <c r="I25" s="79" t="s">
        <v>153</v>
      </c>
      <c r="J25" s="79"/>
      <c r="K25" s="80"/>
    </row>
    <row r="26" spans="1:11" ht="25.5" x14ac:dyDescent="0.2">
      <c r="A26" s="39"/>
      <c r="B26" s="26" t="s">
        <v>107</v>
      </c>
      <c r="C26" s="25"/>
      <c r="D26" s="29"/>
      <c r="E26" s="28"/>
      <c r="F26" s="25"/>
      <c r="G26" s="25"/>
      <c r="H26" s="25"/>
      <c r="I26" s="74"/>
      <c r="J26" s="79"/>
      <c r="K26" s="80"/>
    </row>
    <row r="27" spans="1:11" ht="25.5" x14ac:dyDescent="0.2">
      <c r="A27" s="39"/>
      <c r="B27" s="26" t="s">
        <v>107</v>
      </c>
      <c r="C27" s="25"/>
      <c r="D27" s="29"/>
      <c r="E27" s="28"/>
      <c r="F27" s="25"/>
      <c r="G27" s="25"/>
      <c r="H27" s="25"/>
      <c r="I27" s="74"/>
      <c r="J27" s="79"/>
      <c r="K27" s="80"/>
    </row>
    <row r="28" spans="1:11" ht="25.5" x14ac:dyDescent="0.2">
      <c r="A28" s="39"/>
      <c r="B28" s="26" t="s">
        <v>107</v>
      </c>
      <c r="C28" s="25"/>
      <c r="D28" s="29"/>
      <c r="E28" s="28"/>
      <c r="F28" s="25"/>
      <c r="G28" s="25"/>
      <c r="H28" s="25"/>
      <c r="I28" s="74"/>
      <c r="J28" s="79"/>
      <c r="K28" s="80"/>
    </row>
    <row r="29" spans="1:11" ht="12.95" customHeight="1" x14ac:dyDescent="0.2">
      <c r="B29" s="10"/>
      <c r="C29" s="11"/>
      <c r="D29" s="227" t="s">
        <v>108</v>
      </c>
      <c r="E29" s="26" t="s">
        <v>109</v>
      </c>
      <c r="F29" s="39">
        <f>COUNTIFS($F$5:$F$28,"Completed")</f>
        <v>0</v>
      </c>
      <c r="G29" s="39">
        <f>COUNTIFS($G$5:$G$28,"YES")</f>
        <v>0</v>
      </c>
      <c r="H29" s="103"/>
      <c r="J29" s="8"/>
    </row>
    <row r="30" spans="1:11" ht="12.95" customHeight="1" x14ac:dyDescent="0.2">
      <c r="D30" s="228"/>
      <c r="E30" s="26" t="s">
        <v>110</v>
      </c>
      <c r="F30" s="39">
        <f>COUNTIFS($F$5:$F$28,"Not started")</f>
        <v>21</v>
      </c>
      <c r="G30" s="39">
        <f>COUNTIFS($G$5:$G$28,"TBC")</f>
        <v>21</v>
      </c>
      <c r="J30" s="8"/>
    </row>
    <row r="31" spans="1:11" ht="12.95" customHeight="1" x14ac:dyDescent="0.2">
      <c r="D31" s="228"/>
      <c r="E31" s="26" t="s">
        <v>99</v>
      </c>
      <c r="F31" s="39">
        <f>COUNTIFS($F$5:$F$28,"NOT APPLICABLE")</f>
        <v>0</v>
      </c>
      <c r="G31" s="39">
        <f>COUNTIFS($G$5:$G$28,"NOT APPLICABLE")</f>
        <v>0</v>
      </c>
      <c r="J31" s="8"/>
    </row>
    <row r="32" spans="1:11" ht="12.95" customHeight="1" x14ac:dyDescent="0.2">
      <c r="D32" s="228"/>
      <c r="E32" s="26" t="s">
        <v>111</v>
      </c>
      <c r="F32" s="39">
        <f>COUNTIFS($F$5:$F$28,"IN PROGRESS")</f>
        <v>0</v>
      </c>
      <c r="G32" s="39">
        <f>COUNTIFS($G$5:$G$28,"IN PROGRESS")</f>
        <v>0</v>
      </c>
      <c r="J32" s="8"/>
    </row>
    <row r="33" spans="4:10" ht="12.95" customHeight="1" x14ac:dyDescent="0.2">
      <c r="D33" s="228"/>
      <c r="E33" s="26" t="s">
        <v>112</v>
      </c>
      <c r="F33" s="97">
        <f>SUM(F29:F32)</f>
        <v>21</v>
      </c>
      <c r="G33" s="97">
        <f>SUM(G29:G32)</f>
        <v>21</v>
      </c>
      <c r="J33" s="8"/>
    </row>
    <row r="34" spans="4:10" ht="28.5" customHeight="1" x14ac:dyDescent="0.2">
      <c r="J34" s="8"/>
    </row>
  </sheetData>
  <mergeCells count="3">
    <mergeCell ref="C1:D1"/>
    <mergeCell ref="D29:D33"/>
    <mergeCell ref="B2:K2"/>
  </mergeCells>
  <hyperlinks>
    <hyperlink ref="J4" r:id="rId1" xr:uid="{7D53D160-A6AF-4BF7-A02F-580AE81438AB}"/>
    <hyperlink ref="A13" r:id="rId2" xr:uid="{DD84C2D9-5227-4950-95FF-AFB7DA249003}"/>
    <hyperlink ref="A15" r:id="rId3" xr:uid="{9688C405-D898-4C1F-B428-67BF51331277}"/>
    <hyperlink ref="A5" r:id="rId4" xr:uid="{79444899-9207-4448-9E69-ACCA6BA2394E}"/>
    <hyperlink ref="A6" r:id="rId5" xr:uid="{0F74A420-9195-453B-827C-3B007D35150A}"/>
    <hyperlink ref="A7" r:id="rId6" xr:uid="{BBC4B197-F472-4719-9D36-FA18270CFBAF}"/>
    <hyperlink ref="A10" r:id="rId7" xr:uid="{C989EFCD-09BF-4FC4-88EA-24B44862707A}"/>
    <hyperlink ref="A12" r:id="rId8" xr:uid="{4E14333A-1877-4909-A130-A43A87ECCFD1}"/>
    <hyperlink ref="A21" r:id="rId9" display="BSR-ENV-1.1 " xr:uid="{B47C1798-C23F-46B3-A77F-E0F73A7F3A4E}"/>
    <hyperlink ref="A22" r:id="rId10" display="BSR-ENV-1.2 " xr:uid="{E749411A-582D-4D10-BABF-1B1A1F70EF97}"/>
    <hyperlink ref="A23" r:id="rId11" display="BSR-ENV-1.3 " xr:uid="{902FB068-B1E7-49BE-BD52-7A9CA9324791}"/>
    <hyperlink ref="A24" r:id="rId12" display="BSR-ENV-1.4 " xr:uid="{C73A2C87-CE54-4011-9755-B0AEDEA699F5}"/>
    <hyperlink ref="A9" r:id="rId13" xr:uid="{D69AE131-5772-4396-A105-A544CCC8CBA6}"/>
    <hyperlink ref="A18" r:id="rId14" xr:uid="{ED95E156-DC11-49F0-965A-B2D6737763A2}"/>
    <hyperlink ref="A11" r:id="rId15" xr:uid="{4EAFD779-BDCA-4B68-84FC-B09B2D2522B7}"/>
    <hyperlink ref="A14" r:id="rId16" xr:uid="{A9139211-10C7-4DB5-A497-517A6E1915C7}"/>
    <hyperlink ref="A16" r:id="rId17" xr:uid="{452EBFF1-4035-4CCA-B489-58748F7A694B}"/>
    <hyperlink ref="A25" r:id="rId18" xr:uid="{C13C50AB-D1C9-408B-AD6A-705B7FB8BA97}"/>
    <hyperlink ref="A8" r:id="rId19" xr:uid="{43DF6B42-D314-4C52-98CA-EA912C14CF17}"/>
    <hyperlink ref="A17" r:id="rId20" xr:uid="{54E42AE3-8725-497F-8F11-A57D3CBFE926}"/>
    <hyperlink ref="A19" r:id="rId21" xr:uid="{7EFB06D0-4D27-4619-B447-CACFF45C0FF4}"/>
    <hyperlink ref="A20" r:id="rId22" xr:uid="{83756C43-0CD4-4DC3-A08E-258E0FF9EE52}"/>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7">
        <x14:dataValidation type="list" allowBlank="1" showInputMessage="1" showErrorMessage="1" xr:uid="{58EF6819-DB40-4F9A-86F0-E683416A9C76}">
          <x14:formula1>
            <xm:f>Variables!$J$2:$J$5</xm:f>
          </x14:formula1>
          <xm:sqref>G26:G28 G8:G24</xm:sqref>
        </x14:dataValidation>
        <x14:dataValidation type="list" allowBlank="1" showInputMessage="1" showErrorMessage="1" xr:uid="{0E822048-1A4A-4BCD-9C6B-5248FDC4DD4C}">
          <x14:formula1>
            <xm:f>Variables!$A$2:$A$4</xm:f>
          </x14:formula1>
          <xm:sqref>C26:C28 C5:C24</xm:sqref>
        </x14:dataValidation>
        <x14:dataValidation type="list" allowBlank="1" showInputMessage="1" showErrorMessage="1" xr:uid="{34E72D3A-6B5A-4C80-91F3-76376C9C7F64}">
          <x14:formula1>
            <xm:f>Variables!$I$2:$I$5</xm:f>
          </x14:formula1>
          <xm:sqref>F26:F28 F5:F24</xm:sqref>
        </x14:dataValidation>
        <x14:dataValidation type="list" allowBlank="1" showInputMessage="1" showErrorMessage="1" xr:uid="{0DA36171-FC9E-47B2-A5FA-22465AA55A14}">
          <x14:formula1>
            <xm:f>Variables!$L$2:$L$4</xm:f>
          </x14:formula1>
          <xm:sqref>H26:H28 H5:H24</xm:sqref>
        </x14:dataValidation>
        <x14:dataValidation type="list" showInputMessage="1" showErrorMessage="1" xr:uid="{C12309F0-60A5-4806-BB6A-E7F498C4BB48}">
          <x14:formula1>
            <xm:f>Variables!$J$2:$J$5</xm:f>
          </x14:formula1>
          <xm:sqref>G5:G7</xm:sqref>
        </x14:dataValidation>
        <x14:dataValidation type="list" showInputMessage="1" showErrorMessage="1" xr:uid="{7B820814-F7EE-44F9-B34C-760292639D59}">
          <x14:formula1>
            <xm:f>Variables!#REF!</xm:f>
          </x14:formula1>
          <xm:sqref>F25:H25</xm:sqref>
        </x14:dataValidation>
        <x14:dataValidation type="list" showInputMessage="1" showErrorMessage="1" xr:uid="{71253113-4654-4AE5-815D-A2749B63A4BE}">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87EE0-AC33-4CEB-935A-0DF85BFAE809}">
  <sheetPr codeName="Sheet14">
    <tabColor rgb="FF500A78"/>
  </sheetPr>
  <dimension ref="A1:K34"/>
  <sheetViews>
    <sheetView showGridLines="0" zoomScaleNormal="100" workbookViewId="0">
      <selection activeCell="A18" sqref="A18"/>
    </sheetView>
  </sheetViews>
  <sheetFormatPr defaultColWidth="9.140625" defaultRowHeight="24" customHeight="1" x14ac:dyDescent="0.25"/>
  <cols>
    <col min="1" max="1" width="11.42578125" style="157" customWidth="1"/>
    <col min="2" max="2" width="17.5703125" style="8" customWidth="1"/>
    <col min="3" max="3" width="48.5703125" style="8" customWidth="1"/>
    <col min="4" max="4" width="18.5703125" style="8" customWidth="1"/>
    <col min="5" max="5" width="17" style="8" bestFit="1" customWidth="1"/>
    <col min="6" max="6" width="23.5703125" style="8" customWidth="1"/>
    <col min="7" max="7" width="26.42578125" style="9" bestFit="1" customWidth="1"/>
    <col min="8" max="8" width="34.5703125" style="8" bestFit="1" customWidth="1"/>
    <col min="9" max="9" width="26.5703125" style="93" customWidth="1"/>
    <col min="10" max="10" width="35.5703125" style="8" customWidth="1"/>
    <col min="11" max="16384" width="9.140625" style="8"/>
  </cols>
  <sheetData>
    <row r="1" spans="1:10" ht="12.75" x14ac:dyDescent="0.2">
      <c r="C1" s="173"/>
      <c r="D1" s="173"/>
      <c r="E1" s="173"/>
      <c r="F1" s="9"/>
      <c r="H1" s="9"/>
      <c r="I1" s="8"/>
    </row>
    <row r="2" spans="1:10" ht="18" x14ac:dyDescent="0.25">
      <c r="B2" s="225" t="s">
        <v>183</v>
      </c>
      <c r="C2" s="225"/>
      <c r="D2" s="225"/>
      <c r="E2" s="225"/>
      <c r="F2" s="225"/>
      <c r="G2" s="225"/>
      <c r="H2" s="225"/>
      <c r="I2" s="225"/>
      <c r="J2" s="225"/>
    </row>
    <row r="3" spans="1:10" ht="12.75" x14ac:dyDescent="0.2">
      <c r="G3" s="8"/>
      <c r="I3" s="8"/>
    </row>
    <row r="4" spans="1:10" ht="41.45" customHeight="1" thickBot="1" x14ac:dyDescent="0.25">
      <c r="A4" s="85" t="s">
        <v>66</v>
      </c>
      <c r="B4" s="50" t="s">
        <v>67</v>
      </c>
      <c r="C4" s="50" t="s">
        <v>69</v>
      </c>
      <c r="D4" s="50" t="s">
        <v>70</v>
      </c>
      <c r="E4" s="50" t="s">
        <v>71</v>
      </c>
      <c r="F4" s="50" t="s">
        <v>226</v>
      </c>
      <c r="G4" s="50" t="s">
        <v>73</v>
      </c>
      <c r="H4" s="50" t="s">
        <v>74</v>
      </c>
      <c r="I4" s="113" t="s">
        <v>75</v>
      </c>
      <c r="J4" s="50" t="s">
        <v>76</v>
      </c>
    </row>
    <row r="5" spans="1:10" ht="51.75" thickBot="1" x14ac:dyDescent="0.25">
      <c r="A5" s="162" t="s">
        <v>184</v>
      </c>
      <c r="B5" s="60" t="s">
        <v>185</v>
      </c>
      <c r="C5" s="131" t="str">
        <f>VLOOKUP(A5,'Control Sheet'!_xlnm._FilterDatabase, 2,FALSE)</f>
        <v>Select only those products which meet NG security requirements to include an ISO 27001 (or similar) certification as well as a SOC 2 Type II certification from the datacenter provider they are using</v>
      </c>
      <c r="D5" s="51" t="s">
        <v>181</v>
      </c>
      <c r="E5" s="25" t="s">
        <v>81</v>
      </c>
      <c r="F5" s="25" t="s">
        <v>82</v>
      </c>
      <c r="G5" s="25" t="s">
        <v>83</v>
      </c>
      <c r="H5" s="79" t="s">
        <v>171</v>
      </c>
      <c r="I5" s="79"/>
      <c r="J5" s="80"/>
    </row>
    <row r="6" spans="1:10" ht="102.75" thickBot="1" x14ac:dyDescent="0.25">
      <c r="A6" s="162" t="s">
        <v>92</v>
      </c>
      <c r="B6" s="60" t="s">
        <v>93</v>
      </c>
      <c r="C6" s="131"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94</v>
      </c>
      <c r="E6" s="25" t="s">
        <v>81</v>
      </c>
      <c r="F6" s="25" t="s">
        <v>82</v>
      </c>
      <c r="G6" s="25" t="s">
        <v>83</v>
      </c>
      <c r="H6" s="79" t="s">
        <v>95</v>
      </c>
      <c r="I6" s="79"/>
      <c r="J6" s="80"/>
    </row>
    <row r="7" spans="1:10" ht="153.75" thickBot="1" x14ac:dyDescent="0.25">
      <c r="A7" s="162" t="s">
        <v>186</v>
      </c>
      <c r="B7" s="60" t="s">
        <v>187</v>
      </c>
      <c r="C7" s="131"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152</v>
      </c>
      <c r="E7" s="25" t="s">
        <v>81</v>
      </c>
      <c r="F7" s="25" t="s">
        <v>82</v>
      </c>
      <c r="G7" s="25" t="s">
        <v>83</v>
      </c>
      <c r="H7" s="79" t="s">
        <v>103</v>
      </c>
      <c r="I7" s="79"/>
      <c r="J7" s="80"/>
    </row>
    <row r="8" spans="1:10" ht="64.5" thickBot="1" x14ac:dyDescent="0.25">
      <c r="A8" s="168" t="s">
        <v>154</v>
      </c>
      <c r="B8" s="60" t="s">
        <v>155</v>
      </c>
      <c r="C8" s="131"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152</v>
      </c>
      <c r="E8" s="25" t="s">
        <v>81</v>
      </c>
      <c r="F8" s="25" t="s">
        <v>82</v>
      </c>
      <c r="G8" s="25" t="s">
        <v>83</v>
      </c>
      <c r="H8" s="79" t="s">
        <v>153</v>
      </c>
      <c r="I8" s="79"/>
      <c r="J8" s="80"/>
    </row>
    <row r="9" spans="1:10" ht="39" thickBot="1" x14ac:dyDescent="0.25">
      <c r="A9" s="162" t="s">
        <v>161</v>
      </c>
      <c r="B9" s="60" t="s">
        <v>162</v>
      </c>
      <c r="C9" s="131" t="str">
        <f>VLOOKUP(A9,'Control Sheet'!_xlnm._FilterDatabase, 2,FALSE)</f>
        <v>Require multi-factor authentication for all interactive application logins off-network</v>
      </c>
      <c r="D9" s="75" t="s">
        <v>163</v>
      </c>
      <c r="E9" s="25" t="s">
        <v>81</v>
      </c>
      <c r="F9" s="25" t="s">
        <v>82</v>
      </c>
      <c r="G9" s="25" t="s">
        <v>83</v>
      </c>
      <c r="H9" s="79" t="s">
        <v>103</v>
      </c>
      <c r="I9" s="79"/>
      <c r="J9" s="80"/>
    </row>
    <row r="10" spans="1:10" ht="77.25" thickBot="1" x14ac:dyDescent="0.25">
      <c r="A10" s="162" t="s">
        <v>124</v>
      </c>
      <c r="B10" s="60" t="s">
        <v>125</v>
      </c>
      <c r="C10" s="131" t="str">
        <f>VLOOKUP(A10,'Control Sheet'!_xlnm._FilterDatabase, 2,FALSE)</f>
        <v>Forward logs to a remote log server. Logs should be made available to NG CSOC</v>
      </c>
      <c r="D10" s="75" t="s">
        <v>228</v>
      </c>
      <c r="E10" s="25" t="s">
        <v>81</v>
      </c>
      <c r="F10" s="25" t="s">
        <v>82</v>
      </c>
      <c r="G10" s="25" t="s">
        <v>83</v>
      </c>
      <c r="H10" s="79" t="s">
        <v>127</v>
      </c>
      <c r="I10" s="79"/>
      <c r="J10" s="80"/>
    </row>
    <row r="11" spans="1:10" ht="39" thickBot="1" x14ac:dyDescent="0.25">
      <c r="A11" s="162" t="s">
        <v>164</v>
      </c>
      <c r="B11" s="60" t="s">
        <v>165</v>
      </c>
      <c r="C11" s="131" t="str">
        <f>VLOOKUP(A11,'Control Sheet'!_xlnm._FilterDatabase, 2,FALSE)</f>
        <v>Include security as a design requirement. Review all code and correctly identified security flaws prior to deployment. Use of static code analysis tools recommended.</v>
      </c>
      <c r="D11" s="51" t="s">
        <v>166</v>
      </c>
      <c r="E11" s="25" t="s">
        <v>81</v>
      </c>
      <c r="F11" s="25" t="s">
        <v>82</v>
      </c>
      <c r="G11" s="25" t="s">
        <v>83</v>
      </c>
      <c r="H11" s="79" t="s">
        <v>95</v>
      </c>
      <c r="I11" s="79"/>
      <c r="J11" s="80"/>
    </row>
    <row r="12" spans="1:10" ht="26.25" thickBot="1" x14ac:dyDescent="0.25">
      <c r="A12" s="162" t="s">
        <v>133</v>
      </c>
      <c r="B12" s="60" t="s">
        <v>134</v>
      </c>
      <c r="C12" s="131" t="e">
        <f>VLOOKUP(A12,'Control Sheet'!_xlnm._FilterDatabase, 2,FALSE)</f>
        <v>#N/A</v>
      </c>
      <c r="D12" s="51" t="s">
        <v>227</v>
      </c>
      <c r="E12" s="25" t="s">
        <v>81</v>
      </c>
      <c r="F12" s="25" t="s">
        <v>82</v>
      </c>
      <c r="G12" s="25" t="s">
        <v>83</v>
      </c>
      <c r="H12" s="79" t="s">
        <v>103</v>
      </c>
      <c r="I12" s="79"/>
      <c r="J12" s="80"/>
    </row>
    <row r="13" spans="1:10" ht="179.25" thickBot="1" x14ac:dyDescent="0.25">
      <c r="A13" s="162" t="s">
        <v>89</v>
      </c>
      <c r="B13" s="60" t="s">
        <v>188</v>
      </c>
      <c r="C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91</v>
      </c>
      <c r="E13" s="25" t="s">
        <v>81</v>
      </c>
      <c r="F13" s="25" t="s">
        <v>82</v>
      </c>
      <c r="G13" s="25" t="s">
        <v>83</v>
      </c>
      <c r="H13" s="79" t="s">
        <v>189</v>
      </c>
      <c r="I13" s="79"/>
      <c r="J13" s="80"/>
    </row>
    <row r="14" spans="1:10" ht="77.25" thickBot="1" x14ac:dyDescent="0.25">
      <c r="A14" s="162" t="s">
        <v>168</v>
      </c>
      <c r="B14" s="60" t="s">
        <v>190</v>
      </c>
      <c r="C14" s="131" t="str">
        <f>VLOOKUP(A14,'Control Sheet'!_xlnm._FilterDatabase, 2,FALSE)</f>
        <v>Establish an incident response plan and train stakeholders periodically</v>
      </c>
      <c r="D14" s="75" t="s">
        <v>229</v>
      </c>
      <c r="E14" s="25" t="s">
        <v>81</v>
      </c>
      <c r="F14" s="25" t="s">
        <v>82</v>
      </c>
      <c r="G14" s="25" t="s">
        <v>83</v>
      </c>
      <c r="H14" s="79" t="s">
        <v>230</v>
      </c>
      <c r="I14" s="79"/>
      <c r="J14" s="80"/>
    </row>
    <row r="15" spans="1:10" ht="128.25" thickBot="1" x14ac:dyDescent="0.25">
      <c r="A15" s="162" t="s">
        <v>96</v>
      </c>
      <c r="B15" s="60" t="s">
        <v>97</v>
      </c>
      <c r="C15" s="131" t="str">
        <f>VLOOKUP(A15,'Control Sheet'!_xlnm._FilterDatabase, 2,FALSE)</f>
        <v>Follow all regulatory data controls as applicable (NIST 800-171, PCI DSS, GDPR, etc.).</v>
      </c>
      <c r="D15" s="75" t="s">
        <v>170</v>
      </c>
      <c r="E15" s="25" t="s">
        <v>81</v>
      </c>
      <c r="F15" s="25" t="s">
        <v>82</v>
      </c>
      <c r="G15" s="25" t="s">
        <v>83</v>
      </c>
      <c r="H15" s="79" t="s">
        <v>171</v>
      </c>
      <c r="I15" s="79"/>
      <c r="J15" s="80"/>
    </row>
    <row r="16" spans="1:10" ht="115.5" thickBot="1" x14ac:dyDescent="0.25">
      <c r="A16" s="162" t="s">
        <v>191</v>
      </c>
      <c r="B16" s="60" t="s">
        <v>192</v>
      </c>
      <c r="C16" s="131" t="str">
        <f>VLOOKUP(A16,'Control Sheet'!_xlnm._FilterDatabase, 2,FALSE)</f>
        <v xml:space="preserve">Integrate the solution with NG CASB
Ensure SAAS/PAAS data leakage protection is enabled </v>
      </c>
      <c r="D16" s="75" t="s">
        <v>193</v>
      </c>
      <c r="E16" s="25" t="s">
        <v>81</v>
      </c>
      <c r="F16" s="25" t="s">
        <v>82</v>
      </c>
      <c r="G16" s="25" t="s">
        <v>83</v>
      </c>
      <c r="H16" s="79" t="s">
        <v>153</v>
      </c>
      <c r="I16" s="79"/>
      <c r="J16" s="80"/>
    </row>
    <row r="17" spans="1:11" ht="51.75" thickBot="1" x14ac:dyDescent="0.25">
      <c r="A17" s="162" t="s">
        <v>150</v>
      </c>
      <c r="B17" s="94" t="s">
        <v>151</v>
      </c>
      <c r="C17" s="131" t="str">
        <f>VLOOKUP(A17,'Control Sheet'!_xlnm._FilterDatabase, 2,FALSE)</f>
        <v>All encryption keys and certificates to be utilized by the application will be issued by a recognized CA and not self-signed and utilizes the AES cipher of a length no smaller than 256-bit</v>
      </c>
      <c r="D17" s="51" t="s">
        <v>152</v>
      </c>
      <c r="E17" s="25" t="s">
        <v>81</v>
      </c>
      <c r="F17" s="25" t="s">
        <v>82</v>
      </c>
      <c r="G17" s="25" t="s">
        <v>83</v>
      </c>
      <c r="H17" s="79" t="s">
        <v>153</v>
      </c>
      <c r="I17" s="79"/>
      <c r="J17" s="80"/>
    </row>
    <row r="18" spans="1:11" ht="64.5" thickBot="1" x14ac:dyDescent="0.25">
      <c r="A18" s="162" t="s">
        <v>172</v>
      </c>
      <c r="B18" s="94" t="s">
        <v>173</v>
      </c>
      <c r="C18" s="131"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174</v>
      </c>
      <c r="E18" s="25" t="s">
        <v>81</v>
      </c>
      <c r="F18" s="25" t="s">
        <v>82</v>
      </c>
      <c r="G18" s="25" t="s">
        <v>83</v>
      </c>
      <c r="H18" s="79" t="s">
        <v>103</v>
      </c>
      <c r="I18" s="74"/>
      <c r="J18" s="80"/>
    </row>
    <row r="19" spans="1:11" ht="64.5" thickBot="1" x14ac:dyDescent="0.25">
      <c r="A19" s="162" t="s">
        <v>136</v>
      </c>
      <c r="B19" s="60" t="s">
        <v>194</v>
      </c>
      <c r="C19" s="131"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75" t="s">
        <v>138</v>
      </c>
      <c r="E19" s="25" t="s">
        <v>81</v>
      </c>
      <c r="F19" s="25" t="s">
        <v>82</v>
      </c>
      <c r="G19" s="25" t="s">
        <v>83</v>
      </c>
      <c r="H19" s="79" t="s">
        <v>95</v>
      </c>
      <c r="I19" s="79"/>
      <c r="J19" s="80"/>
    </row>
    <row r="20" spans="1:11" ht="30.75" thickBot="1" x14ac:dyDescent="0.25">
      <c r="A20" s="162" t="s">
        <v>142</v>
      </c>
      <c r="B20" s="94" t="s">
        <v>143</v>
      </c>
      <c r="C20" s="131" t="str">
        <f>VLOOKUP(A20,'Control Sheet'!_xlnm._FilterDatabase, 2,FALSE)</f>
        <v>Production, and non-production environments should be segregated </v>
      </c>
      <c r="D20" s="51" t="s">
        <v>141</v>
      </c>
      <c r="E20" s="25" t="s">
        <v>81</v>
      </c>
      <c r="F20" s="25" t="s">
        <v>82</v>
      </c>
      <c r="G20" s="25" t="s">
        <v>83</v>
      </c>
      <c r="H20" s="79" t="s">
        <v>141</v>
      </c>
      <c r="I20" s="79" t="s">
        <v>141</v>
      </c>
      <c r="J20" s="80"/>
      <c r="K20" s="80"/>
    </row>
    <row r="21" spans="1:11" ht="30.75" thickBot="1" x14ac:dyDescent="0.25">
      <c r="A21" s="162" t="s">
        <v>144</v>
      </c>
      <c r="B21" s="94" t="s">
        <v>145</v>
      </c>
      <c r="C21" s="131" t="str">
        <f>VLOOKUP(A21,'Control Sheet'!_xlnm._FilterDatabase, 2,FALSE)</f>
        <v>Development Environments cannot be exposed to the internet </v>
      </c>
      <c r="D21" s="51" t="s">
        <v>141</v>
      </c>
      <c r="E21" s="25" t="s">
        <v>81</v>
      </c>
      <c r="F21" s="25" t="s">
        <v>82</v>
      </c>
      <c r="G21" s="25" t="s">
        <v>83</v>
      </c>
      <c r="H21" s="79" t="s">
        <v>141</v>
      </c>
      <c r="I21" s="79" t="s">
        <v>141</v>
      </c>
      <c r="J21" s="80"/>
      <c r="K21" s="80"/>
    </row>
    <row r="22" spans="1:11" ht="30.75" thickBot="1" x14ac:dyDescent="0.25">
      <c r="A22" s="162" t="s">
        <v>146</v>
      </c>
      <c r="B22" s="94" t="s">
        <v>147</v>
      </c>
      <c r="C22" s="131" t="str">
        <f>VLOOKUP(A22,'Control Sheet'!_xlnm._FilterDatabase, 2,FALSE)</f>
        <v>UAT Environments should only be exposed to the internet if full production controls are in place </v>
      </c>
      <c r="D22" s="51" t="s">
        <v>141</v>
      </c>
      <c r="E22" s="25" t="s">
        <v>81</v>
      </c>
      <c r="F22" s="25" t="s">
        <v>82</v>
      </c>
      <c r="G22" s="25" t="s">
        <v>83</v>
      </c>
      <c r="H22" s="79" t="s">
        <v>141</v>
      </c>
      <c r="I22" s="79" t="s">
        <v>141</v>
      </c>
      <c r="J22" s="80"/>
      <c r="K22" s="80"/>
    </row>
    <row r="23" spans="1:11" ht="39" thickBot="1" x14ac:dyDescent="0.25">
      <c r="A23" s="162" t="s">
        <v>148</v>
      </c>
      <c r="B23" s="94" t="s">
        <v>149</v>
      </c>
      <c r="C23" s="131" t="str">
        <f>VLOOKUP(A23,'Control Sheet'!_xlnm._FilterDatabase, 2,FALSE)</f>
        <v>Non-Production environments will not have production data especially personally identifiable information without obfuscation or anonymization </v>
      </c>
      <c r="D23" s="51" t="s">
        <v>141</v>
      </c>
      <c r="E23" s="25" t="s">
        <v>81</v>
      </c>
      <c r="F23" s="25" t="s">
        <v>82</v>
      </c>
      <c r="G23" s="25" t="s">
        <v>83</v>
      </c>
      <c r="H23" s="79" t="s">
        <v>141</v>
      </c>
      <c r="I23" s="79" t="s">
        <v>141</v>
      </c>
    </row>
    <row r="24" spans="1:11" ht="25.5" x14ac:dyDescent="0.2">
      <c r="A24" s="39"/>
      <c r="B24" s="26" t="s">
        <v>107</v>
      </c>
      <c r="C24" s="53"/>
      <c r="D24" s="29"/>
      <c r="E24" s="25"/>
      <c r="F24" s="25"/>
      <c r="G24" s="25"/>
      <c r="H24" s="74"/>
      <c r="I24" s="79"/>
      <c r="J24" s="80"/>
    </row>
    <row r="25" spans="1:11" ht="25.5" x14ac:dyDescent="0.2">
      <c r="A25" s="39"/>
      <c r="B25" s="26" t="s">
        <v>107</v>
      </c>
      <c r="C25" s="29"/>
      <c r="D25" s="29"/>
      <c r="E25" s="25"/>
      <c r="F25" s="25"/>
      <c r="G25" s="25"/>
      <c r="H25" s="74"/>
      <c r="I25" s="79"/>
      <c r="J25" s="80"/>
    </row>
    <row r="26" spans="1:11" ht="25.5" x14ac:dyDescent="0.2">
      <c r="A26" s="39"/>
      <c r="B26" s="26" t="s">
        <v>107</v>
      </c>
      <c r="C26" s="29"/>
      <c r="D26" s="29"/>
      <c r="E26" s="25"/>
      <c r="F26" s="25"/>
      <c r="G26" s="25"/>
      <c r="H26" s="74"/>
      <c r="I26" s="79"/>
      <c r="J26" s="80"/>
    </row>
    <row r="27" spans="1:11" ht="25.5" x14ac:dyDescent="0.2">
      <c r="A27" s="39"/>
      <c r="B27" s="26" t="s">
        <v>107</v>
      </c>
      <c r="C27" s="29"/>
      <c r="D27" s="29"/>
      <c r="E27" s="25"/>
      <c r="F27" s="25"/>
      <c r="G27" s="25"/>
      <c r="H27" s="74"/>
      <c r="I27" s="79"/>
      <c r="J27" s="80"/>
    </row>
    <row r="28" spans="1:11" ht="12.95" customHeight="1" x14ac:dyDescent="0.2">
      <c r="C28" s="227" t="s">
        <v>108</v>
      </c>
      <c r="D28" s="26" t="s">
        <v>109</v>
      </c>
      <c r="E28" s="39">
        <f>COUNTIFS($E$5:$E$27,"Completed")</f>
        <v>0</v>
      </c>
      <c r="F28" s="39">
        <f>COUNTIFS($F$5:$F$27,"YES")</f>
        <v>0</v>
      </c>
      <c r="G28" s="103"/>
      <c r="I28" s="8"/>
    </row>
    <row r="29" spans="1:11" ht="12.95" customHeight="1" x14ac:dyDescent="0.2">
      <c r="C29" s="228"/>
      <c r="D29" s="26" t="s">
        <v>110</v>
      </c>
      <c r="E29" s="39">
        <f>COUNTIFS($E$5:$E$27,"Not started")</f>
        <v>19</v>
      </c>
      <c r="F29" s="39">
        <f>COUNTIFS($F$5:$F$27,"TBC")</f>
        <v>19</v>
      </c>
      <c r="G29" s="103"/>
      <c r="I29" s="8"/>
    </row>
    <row r="30" spans="1:11" ht="12.95" customHeight="1" x14ac:dyDescent="0.2">
      <c r="C30" s="228"/>
      <c r="D30" s="26" t="s">
        <v>99</v>
      </c>
      <c r="E30" s="39">
        <f>COUNTIFS($E$5:$E$27,"NOT APPLICABLE")</f>
        <v>0</v>
      </c>
      <c r="F30" s="39">
        <f>COUNTIFS($F$5:$F$27,"NOT APPLICABLE")</f>
        <v>0</v>
      </c>
      <c r="I30" s="8"/>
    </row>
    <row r="31" spans="1:11" ht="12.95" customHeight="1" x14ac:dyDescent="0.2">
      <c r="C31" s="228"/>
      <c r="D31" s="26" t="s">
        <v>111</v>
      </c>
      <c r="E31" s="39">
        <f>COUNTIFS($E$5:$E$27,"IN PROGRESS")</f>
        <v>0</v>
      </c>
      <c r="F31" s="39">
        <f>COUNTIFS($F$5:$F$27,"IN PROGRESS")</f>
        <v>0</v>
      </c>
      <c r="I31" s="8"/>
    </row>
    <row r="32" spans="1:11" ht="12.95" customHeight="1" x14ac:dyDescent="0.2">
      <c r="C32" s="228"/>
      <c r="D32" s="26" t="s">
        <v>112</v>
      </c>
      <c r="E32" s="97">
        <f>SUM(E28:E31)</f>
        <v>19</v>
      </c>
      <c r="F32" s="97">
        <f>SUM(F28:F31)</f>
        <v>19</v>
      </c>
      <c r="I32" s="8"/>
    </row>
    <row r="33" spans="9:9" ht="24" customHeight="1" x14ac:dyDescent="0.2">
      <c r="I33" s="8"/>
    </row>
    <row r="34" spans="9:9" ht="24" customHeight="1" x14ac:dyDescent="0.2">
      <c r="I34" s="8"/>
    </row>
  </sheetData>
  <mergeCells count="2">
    <mergeCell ref="C28:C32"/>
    <mergeCell ref="B2:J2"/>
  </mergeCells>
  <hyperlinks>
    <hyperlink ref="I4" r:id="rId1" xr:uid="{2AB43E33-9939-4A14-9DED-4D2C49E801D6}"/>
    <hyperlink ref="A13" r:id="rId2" xr:uid="{7A29F59C-5DCE-4A8F-9DEF-59BBBA754AAB}"/>
    <hyperlink ref="A15" r:id="rId3" xr:uid="{9D3014B5-659E-4E7E-8254-1890F559A6A7}"/>
    <hyperlink ref="A6" r:id="rId4" xr:uid="{F220EA17-AE46-45CD-8EF6-EF3E90F7CC9A}"/>
    <hyperlink ref="A10" r:id="rId5" xr:uid="{BB8DEE60-B086-45C3-A506-1374494C306E}"/>
    <hyperlink ref="A12" r:id="rId6" xr:uid="{C6E02266-D30B-4ED7-A72B-F79263DAABB1}"/>
    <hyperlink ref="A20" r:id="rId7" display="BSR-ENV-1.1 " xr:uid="{1E9F2645-3C90-4053-BEF3-FA7A71CE426E}"/>
    <hyperlink ref="A21" r:id="rId8" display="BSR-ENV-1.2 " xr:uid="{2B7E2EF9-0515-448C-AD28-CF76032E443D}"/>
    <hyperlink ref="A22" r:id="rId9" display="BSR-ENV-1.3 " xr:uid="{94B244DF-CE37-4476-A2CD-C141F41B39F9}"/>
    <hyperlink ref="A23" r:id="rId10" display="BSR-ENV-1.4 " xr:uid="{D55DA7B2-7F3E-4EF9-ACA4-17E152C4913B}"/>
    <hyperlink ref="A9" r:id="rId11" xr:uid="{91F1B53E-5FB3-442B-8AD3-45886BBCAC98}"/>
    <hyperlink ref="A19" r:id="rId12" xr:uid="{CBBB277F-1C79-483C-B641-803DD16E69D3}"/>
    <hyperlink ref="A11" r:id="rId13" xr:uid="{3DE09A02-46E9-4101-B9B5-8E985A594170}"/>
    <hyperlink ref="A5" r:id="rId14" xr:uid="{9C39F3D3-12B0-4E1A-BA5B-124E9EA4329B}"/>
    <hyperlink ref="A7" r:id="rId15" xr:uid="{56C326AF-4500-4C3C-AE6A-9B1BA04FAA83}"/>
    <hyperlink ref="A16" r:id="rId16" xr:uid="{CBA065DE-0E61-4995-9BFB-106AE8F97922}"/>
    <hyperlink ref="A14" r:id="rId17" xr:uid="{73F0FD27-AB96-45D8-A271-D35BE66F7ACB}"/>
    <hyperlink ref="A17" r:id="rId18" xr:uid="{2A07190D-FCA5-4B66-9613-D140EE49B65D}"/>
    <hyperlink ref="A8" r:id="rId19" xr:uid="{F04604D3-D508-45A9-8E01-2CEF2D8C20A7}"/>
    <hyperlink ref="A18" r:id="rId20" xr:uid="{88DE972E-5B67-4E8F-87E0-FF7A39FD5D80}"/>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disablePrompts="1" count="5">
        <x14:dataValidation type="list" showInputMessage="1" showErrorMessage="1" xr:uid="{93CB4A44-CAED-4A36-933C-A46CBDD52353}">
          <x14:formula1>
            <xm:f>Variables!$J$2:$J$5</xm:f>
          </x14:formula1>
          <xm:sqref>F24:F27 F5:F19</xm:sqref>
        </x14:dataValidation>
        <x14:dataValidation type="list" showInputMessage="1" showErrorMessage="1" xr:uid="{DFCB2CB0-B870-4E03-8826-9254855DE742}">
          <x14:formula1>
            <xm:f>Variables!$I$2:$I$5</xm:f>
          </x14:formula1>
          <xm:sqref>E24:E27 E5:E19</xm:sqref>
        </x14:dataValidation>
        <x14:dataValidation type="list" allowBlank="1" showInputMessage="1" showErrorMessage="1" xr:uid="{B558F47C-BFB8-4D0F-8848-ED88210893A4}">
          <x14:formula1>
            <xm:f>Variables!$L$2:$L$4</xm:f>
          </x14:formula1>
          <xm:sqref>G5:G27</xm:sqref>
        </x14:dataValidation>
        <x14:dataValidation type="list" allowBlank="1" showInputMessage="1" showErrorMessage="1" xr:uid="{C39A1606-6225-4AA3-BDCE-C6B06DD4393F}">
          <x14:formula1>
            <xm:f>Variables!$I$2:$I$5</xm:f>
          </x14:formula1>
          <xm:sqref>E20:E23</xm:sqref>
        </x14:dataValidation>
        <x14:dataValidation type="list" allowBlank="1" showInputMessage="1" showErrorMessage="1" xr:uid="{11F86015-4C13-4C8F-B3CB-3B2613CEDBA9}">
          <x14:formula1>
            <xm:f>Variables!$J$2:$J$5</xm:f>
          </x14:formula1>
          <xm:sqref>F20:F23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6AAE3-B403-46AF-9596-4BD439ECB7DD}">
  <sheetPr codeName="Sheet15">
    <tabColor rgb="FF55555A"/>
  </sheetPr>
  <dimension ref="A1:J26"/>
  <sheetViews>
    <sheetView showGridLines="0" zoomScaleNormal="100" workbookViewId="0">
      <selection activeCell="C6" sqref="C6"/>
    </sheetView>
  </sheetViews>
  <sheetFormatPr defaultColWidth="12.42578125" defaultRowHeight="16.5" customHeight="1" x14ac:dyDescent="0.25"/>
  <cols>
    <col min="1" max="1" width="12.42578125" style="84"/>
    <col min="2" max="2" width="17.5703125" customWidth="1"/>
    <col min="3" max="3" width="56.5703125" customWidth="1"/>
    <col min="4" max="4" width="21" customWidth="1"/>
    <col min="5" max="5" width="20.5703125" customWidth="1"/>
    <col min="6" max="6" width="23.5703125" customWidth="1"/>
    <col min="7" max="7" width="26.42578125" style="9" bestFit="1" customWidth="1"/>
    <col min="8" max="8" width="34.5703125" bestFit="1" customWidth="1"/>
    <col min="9" max="9" width="26.5703125" style="93" customWidth="1"/>
    <col min="10" max="10" width="35.5703125" customWidth="1"/>
  </cols>
  <sheetData>
    <row r="1" spans="1:10" s="8" customFormat="1" ht="12.75" x14ac:dyDescent="0.2">
      <c r="C1" s="226"/>
      <c r="D1" s="226"/>
      <c r="E1" s="9"/>
      <c r="F1" s="9"/>
      <c r="G1" s="9"/>
    </row>
    <row r="2" spans="1:10" s="8" customFormat="1" ht="18" x14ac:dyDescent="0.25">
      <c r="B2" s="225" t="s">
        <v>195</v>
      </c>
      <c r="C2" s="225"/>
      <c r="D2" s="225"/>
      <c r="E2" s="225"/>
      <c r="F2" s="225"/>
      <c r="G2" s="225"/>
      <c r="H2" s="225"/>
      <c r="I2" s="225"/>
      <c r="J2" s="225"/>
    </row>
    <row r="3" spans="1:10" s="8" customFormat="1" ht="12.75" x14ac:dyDescent="0.2"/>
    <row r="4" spans="1:10" s="8" customFormat="1" ht="41.45" customHeight="1" thickBot="1" x14ac:dyDescent="0.25">
      <c r="A4" s="85" t="s">
        <v>66</v>
      </c>
      <c r="B4" s="50" t="s">
        <v>67</v>
      </c>
      <c r="C4" s="50" t="s">
        <v>69</v>
      </c>
      <c r="D4" s="50" t="s">
        <v>70</v>
      </c>
      <c r="E4" s="50" t="s">
        <v>71</v>
      </c>
      <c r="F4" s="50" t="s">
        <v>226</v>
      </c>
      <c r="G4" s="50" t="s">
        <v>73</v>
      </c>
      <c r="H4" s="50" t="s">
        <v>74</v>
      </c>
      <c r="I4" s="113" t="s">
        <v>75</v>
      </c>
      <c r="J4" s="50" t="s">
        <v>76</v>
      </c>
    </row>
    <row r="5" spans="1:10" s="8" customFormat="1" ht="164.1" customHeight="1" thickBot="1" x14ac:dyDescent="0.25">
      <c r="A5" s="162" t="s">
        <v>196</v>
      </c>
      <c r="B5" s="38" t="s">
        <v>197</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198</v>
      </c>
      <c r="E5" s="25" t="s">
        <v>81</v>
      </c>
      <c r="F5" s="25" t="s">
        <v>82</v>
      </c>
      <c r="G5" s="25" t="s">
        <v>83</v>
      </c>
      <c r="H5" s="79" t="s">
        <v>157</v>
      </c>
      <c r="I5" s="79"/>
      <c r="J5" s="80"/>
    </row>
    <row r="6" spans="1:10" s="8" customFormat="1" ht="92.45" customHeight="1" thickBot="1" x14ac:dyDescent="0.25">
      <c r="A6" s="162" t="s">
        <v>199</v>
      </c>
      <c r="B6" s="38" t="s">
        <v>200</v>
      </c>
      <c r="C6" s="131" t="str">
        <f>VLOOKUP(A6,'Control Sheet'!_xlnm._FilterDatabase, 2,FALSE)</f>
        <v>Web API - Web
Web API/CNI integrated - Isolated Web
Relay Agent - Web
Critical Data in cache - App 
Code execution - App 
Data Store - Database</v>
      </c>
      <c r="D6" s="51" t="s">
        <v>201</v>
      </c>
      <c r="E6" s="25" t="s">
        <v>81</v>
      </c>
      <c r="F6" s="25" t="s">
        <v>82</v>
      </c>
      <c r="G6" s="25" t="s">
        <v>83</v>
      </c>
      <c r="H6" s="79" t="s">
        <v>157</v>
      </c>
      <c r="I6" s="79"/>
      <c r="J6" s="80"/>
    </row>
    <row r="7" spans="1:10" s="8" customFormat="1" ht="82.5" customHeight="1" thickBot="1" x14ac:dyDescent="0.25">
      <c r="A7" s="166" t="s">
        <v>202</v>
      </c>
      <c r="B7" s="38" t="s">
        <v>203</v>
      </c>
      <c r="C7" s="131" t="str">
        <f>VLOOKUP(A7,'Control Sheet'!_xlnm._FilterDatabase, 2,FALSE)</f>
        <v>Ensure that the API based application is centrally authenticated using National Grid OAUTH service 
(Managed by Avanade).</v>
      </c>
      <c r="D7" s="51" t="s">
        <v>204</v>
      </c>
      <c r="E7" s="25" t="s">
        <v>81</v>
      </c>
      <c r="F7" s="25" t="s">
        <v>82</v>
      </c>
      <c r="G7" s="25" t="s">
        <v>83</v>
      </c>
      <c r="H7" s="79" t="s">
        <v>103</v>
      </c>
      <c r="I7" s="79"/>
      <c r="J7" s="80"/>
    </row>
    <row r="8" spans="1:10" s="8" customFormat="1" ht="122.45" customHeight="1" thickBot="1" x14ac:dyDescent="0.25">
      <c r="A8" s="162" t="s">
        <v>205</v>
      </c>
      <c r="B8" s="38" t="s">
        <v>206</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207</v>
      </c>
      <c r="E8" s="25" t="s">
        <v>81</v>
      </c>
      <c r="F8" s="25" t="s">
        <v>82</v>
      </c>
      <c r="G8" s="25" t="s">
        <v>83</v>
      </c>
      <c r="H8" s="79" t="s">
        <v>157</v>
      </c>
      <c r="I8" s="79"/>
      <c r="J8" s="80"/>
    </row>
    <row r="9" spans="1:10" s="8" customFormat="1" ht="122.45" customHeight="1" thickBot="1" x14ac:dyDescent="0.25">
      <c r="A9" s="162" t="s">
        <v>208</v>
      </c>
      <c r="B9" s="38" t="s">
        <v>209</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51" t="s">
        <v>210</v>
      </c>
      <c r="E9" s="25" t="s">
        <v>81</v>
      </c>
      <c r="F9" s="25" t="s">
        <v>82</v>
      </c>
      <c r="G9" s="25" t="s">
        <v>83</v>
      </c>
      <c r="H9" s="79" t="s">
        <v>157</v>
      </c>
      <c r="I9" s="79"/>
      <c r="J9" s="80"/>
    </row>
    <row r="10" spans="1:10" s="8" customFormat="1" ht="80.099999999999994" customHeight="1" thickBot="1" x14ac:dyDescent="0.25">
      <c r="A10" s="162" t="s">
        <v>211</v>
      </c>
      <c r="B10" s="38" t="s">
        <v>212</v>
      </c>
      <c r="C10" s="131" t="str">
        <f>VLOOKUP(A10,'Control Sheet'!_xlnm._FilterDatabase, 2,FALSE)</f>
        <v>1.Always enroll your externally published services using Web Application Firewall (NG’s In-house capability - Cloudflare)
OWASP Protection,
Geographical IP Protection (block from Russia, Iran)</v>
      </c>
      <c r="D10" s="51" t="s">
        <v>213</v>
      </c>
      <c r="E10" s="25" t="s">
        <v>81</v>
      </c>
      <c r="F10" s="25" t="s">
        <v>82</v>
      </c>
      <c r="G10" s="25" t="s">
        <v>83</v>
      </c>
      <c r="H10" s="79" t="s">
        <v>157</v>
      </c>
      <c r="I10" s="79"/>
      <c r="J10" s="80"/>
    </row>
    <row r="11" spans="1:10" s="8" customFormat="1" ht="85.5" customHeight="1" thickBot="1" x14ac:dyDescent="0.25">
      <c r="A11" s="162" t="s">
        <v>214</v>
      </c>
      <c r="B11" s="38" t="s">
        <v>215</v>
      </c>
      <c r="C11" s="131" t="str">
        <f>VLOOKUP(A11,'Control Sheet'!_xlnm._FilterDatabase, 2,FALSE)</f>
        <v xml:space="preserve">NG Cloudflare Service can perform client certificate checks, For External assets extend the trust, by Enrolling the external entity with NG Public Key certificate </v>
      </c>
      <c r="D11" s="51" t="s">
        <v>216</v>
      </c>
      <c r="E11" s="25" t="s">
        <v>81</v>
      </c>
      <c r="F11" s="25" t="s">
        <v>82</v>
      </c>
      <c r="G11" s="25" t="s">
        <v>83</v>
      </c>
      <c r="H11" s="79" t="s">
        <v>157</v>
      </c>
      <c r="I11" s="79"/>
      <c r="J11" s="80"/>
    </row>
    <row r="12" spans="1:10" s="8" customFormat="1" ht="107.45" customHeight="1" thickBot="1" x14ac:dyDescent="0.25">
      <c r="A12" s="162" t="s">
        <v>217</v>
      </c>
      <c r="B12" s="38" t="s">
        <v>218</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51" t="s">
        <v>219</v>
      </c>
      <c r="E12" s="25" t="s">
        <v>81</v>
      </c>
      <c r="F12" s="25" t="s">
        <v>82</v>
      </c>
      <c r="G12" s="25" t="s">
        <v>83</v>
      </c>
      <c r="H12" s="79" t="s">
        <v>103</v>
      </c>
      <c r="I12" s="79"/>
      <c r="J12" s="80"/>
    </row>
    <row r="13" spans="1:10" s="8" customFormat="1" ht="77.45" customHeight="1" thickBot="1" x14ac:dyDescent="0.25">
      <c r="A13" s="162" t="s">
        <v>220</v>
      </c>
      <c r="B13" s="38" t="s">
        <v>221</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51" t="s">
        <v>222</v>
      </c>
      <c r="E13" s="25" t="s">
        <v>81</v>
      </c>
      <c r="F13" s="25" t="s">
        <v>82</v>
      </c>
      <c r="G13" s="25" t="s">
        <v>83</v>
      </c>
      <c r="H13" s="79" t="s">
        <v>103</v>
      </c>
      <c r="I13" s="79"/>
      <c r="J13" s="80"/>
    </row>
    <row r="14" spans="1:10" s="8" customFormat="1" ht="151.5" customHeight="1" thickBot="1" x14ac:dyDescent="0.25">
      <c r="A14" s="162" t="s">
        <v>223</v>
      </c>
      <c r="B14" s="38" t="s">
        <v>224</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9" t="s">
        <v>225</v>
      </c>
      <c r="E14" s="25" t="s">
        <v>81</v>
      </c>
      <c r="F14" s="25" t="s">
        <v>82</v>
      </c>
      <c r="G14" s="25" t="s">
        <v>83</v>
      </c>
      <c r="H14" s="79" t="s">
        <v>157</v>
      </c>
      <c r="I14" s="79"/>
      <c r="J14" s="80"/>
    </row>
    <row r="15" spans="1:10" s="8" customFormat="1" ht="25.5" x14ac:dyDescent="0.2">
      <c r="A15" s="80"/>
      <c r="B15" s="26" t="s">
        <v>107</v>
      </c>
      <c r="C15" s="28"/>
      <c r="D15" s="28"/>
      <c r="E15" s="25"/>
      <c r="F15" s="25"/>
      <c r="G15" s="25"/>
      <c r="H15" s="74"/>
      <c r="I15" s="79"/>
      <c r="J15" s="80"/>
    </row>
    <row r="16" spans="1:10" s="8" customFormat="1" ht="25.5" x14ac:dyDescent="0.2">
      <c r="A16" s="80"/>
      <c r="B16" s="26" t="s">
        <v>107</v>
      </c>
      <c r="C16" s="28"/>
      <c r="D16" s="28"/>
      <c r="E16" s="25"/>
      <c r="F16" s="25"/>
      <c r="G16" s="25"/>
      <c r="H16" s="74"/>
      <c r="I16" s="79"/>
      <c r="J16" s="80"/>
    </row>
    <row r="17" spans="1:10" s="8" customFormat="1" ht="25.5" x14ac:dyDescent="0.2">
      <c r="A17" s="80"/>
      <c r="B17" s="26" t="s">
        <v>107</v>
      </c>
      <c r="C17" s="29"/>
      <c r="D17" s="28"/>
      <c r="E17" s="25"/>
      <c r="F17" s="25"/>
      <c r="G17" s="25"/>
      <c r="H17" s="74"/>
      <c r="I17" s="79"/>
      <c r="J17" s="80"/>
    </row>
    <row r="18" spans="1:10" s="8" customFormat="1" ht="25.5" x14ac:dyDescent="0.2">
      <c r="A18" s="80"/>
      <c r="B18" s="26" t="s">
        <v>107</v>
      </c>
      <c r="C18" s="29"/>
      <c r="D18" s="28"/>
      <c r="E18" s="25"/>
      <c r="F18" s="25"/>
      <c r="G18" s="25"/>
      <c r="H18" s="74"/>
      <c r="I18" s="79"/>
      <c r="J18" s="80"/>
    </row>
    <row r="19" spans="1:10" s="8" customFormat="1" ht="25.5" x14ac:dyDescent="0.2">
      <c r="A19" s="80"/>
      <c r="B19" s="26" t="s">
        <v>107</v>
      </c>
      <c r="C19" s="29"/>
      <c r="D19" s="28"/>
      <c r="E19" s="25"/>
      <c r="F19" s="25"/>
      <c r="G19" s="25"/>
      <c r="H19" s="74"/>
      <c r="I19" s="79"/>
      <c r="J19" s="80"/>
    </row>
    <row r="20" spans="1:10" ht="12.95" customHeight="1" x14ac:dyDescent="0.25">
      <c r="A20" s="93"/>
      <c r="B20" s="93"/>
      <c r="C20" s="227" t="s">
        <v>108</v>
      </c>
      <c r="D20" s="26" t="s">
        <v>109</v>
      </c>
      <c r="E20" s="39">
        <f>COUNTIFS($E$5:$E$19,"Completed")</f>
        <v>0</v>
      </c>
      <c r="F20" s="39">
        <f>COUNTIFS($F$5:$F$19,"YES")</f>
        <v>0</v>
      </c>
      <c r="G20" s="103"/>
      <c r="H20" s="93"/>
      <c r="J20" s="93"/>
    </row>
    <row r="21" spans="1:10" ht="12.95" customHeight="1" x14ac:dyDescent="0.25">
      <c r="A21" s="93"/>
      <c r="B21" s="93"/>
      <c r="C21" s="228"/>
      <c r="D21" s="26" t="s">
        <v>110</v>
      </c>
      <c r="E21" s="39">
        <f>COUNTIFS($E$5:$E$19,"Not started")</f>
        <v>10</v>
      </c>
      <c r="F21" s="39">
        <f>COUNTIFS($F$5:$F$19,"TBC")</f>
        <v>10</v>
      </c>
      <c r="G21" s="103"/>
      <c r="H21" s="93"/>
      <c r="J21" s="93"/>
    </row>
    <row r="22" spans="1:10" ht="12.95" customHeight="1" x14ac:dyDescent="0.25">
      <c r="A22" s="93"/>
      <c r="B22" s="93"/>
      <c r="C22" s="228"/>
      <c r="D22" s="26" t="s">
        <v>99</v>
      </c>
      <c r="E22" s="39">
        <f>COUNTIFS($E$5:$E$19,"NOT APPLICABLE")</f>
        <v>0</v>
      </c>
      <c r="F22" s="39">
        <f>COUNTIFS($F$5:$F$19,"NOT APPLICABLE")</f>
        <v>0</v>
      </c>
      <c r="G22" s="103"/>
      <c r="H22" s="93"/>
      <c r="J22" s="93"/>
    </row>
    <row r="23" spans="1:10" ht="12.95" customHeight="1" x14ac:dyDescent="0.25">
      <c r="A23" s="93"/>
      <c r="B23" s="93"/>
      <c r="C23" s="228"/>
      <c r="D23" s="26" t="s">
        <v>111</v>
      </c>
      <c r="E23" s="39">
        <f>COUNTIFS($E$5:$E$19,"IN PROGRESS")</f>
        <v>0</v>
      </c>
      <c r="F23" s="39">
        <f>COUNTIFS($F$5:$F$19,"IN PROGRESS")</f>
        <v>0</v>
      </c>
      <c r="G23" s="103"/>
      <c r="H23" s="93"/>
      <c r="J23" s="93"/>
    </row>
    <row r="24" spans="1:10" ht="12.95" customHeight="1" x14ac:dyDescent="0.25">
      <c r="A24" s="93"/>
      <c r="B24" s="93"/>
      <c r="C24" s="228"/>
      <c r="D24" s="26" t="s">
        <v>112</v>
      </c>
      <c r="E24" s="97">
        <f>SUM(E20:E23)</f>
        <v>10</v>
      </c>
      <c r="F24" s="97">
        <f>SUM(F20:F23)</f>
        <v>10</v>
      </c>
      <c r="G24" s="103"/>
      <c r="H24" s="93"/>
      <c r="J24" s="93"/>
    </row>
    <row r="25" spans="1:10" ht="16.5" customHeight="1" x14ac:dyDescent="0.25">
      <c r="A25" s="93"/>
      <c r="B25" s="93"/>
      <c r="C25" s="93"/>
      <c r="D25" s="93"/>
      <c r="E25" s="93"/>
      <c r="F25" s="93"/>
      <c r="G25" s="103"/>
      <c r="H25" s="93"/>
      <c r="J25" s="93"/>
    </row>
    <row r="26" spans="1:10" ht="16.5" customHeight="1" x14ac:dyDescent="0.25">
      <c r="A26" s="93"/>
      <c r="B26" s="93"/>
      <c r="C26" s="93"/>
      <c r="D26" s="93"/>
      <c r="E26" s="93"/>
      <c r="F26" s="93"/>
      <c r="G26" s="103"/>
      <c r="H26" s="93"/>
      <c r="J26" s="93"/>
    </row>
  </sheetData>
  <mergeCells count="3">
    <mergeCell ref="C1:D1"/>
    <mergeCell ref="C20:C24"/>
    <mergeCell ref="B2:J2"/>
  </mergeCells>
  <hyperlinks>
    <hyperlink ref="I4" r:id="rId1" xr:uid="{847E94F4-7B83-4E93-9F33-3A640295DD4C}"/>
    <hyperlink ref="A5" r:id="rId2" xr:uid="{17A14BD6-3949-4A91-9879-7FE26C7F743F}"/>
    <hyperlink ref="A8" r:id="rId3" xr:uid="{6A4303A1-4C00-4D96-87B1-20DB88715C84}"/>
    <hyperlink ref="A11" r:id="rId4" xr:uid="{9D7F664F-B93E-49CA-8CCC-382734702BD2}"/>
    <hyperlink ref="A12" r:id="rId5" xr:uid="{5CDBF63B-D899-410E-BE10-D9BDF9CA42EC}"/>
    <hyperlink ref="A13" r:id="rId6" xr:uid="{8A0BE576-F7F6-4017-95CD-8DC5B791FC7D}"/>
    <hyperlink ref="A14" r:id="rId7" xr:uid="{820AB2BF-FE0C-41CB-93C5-F319E843597E}"/>
    <hyperlink ref="A6" r:id="rId8" xr:uid="{4367C7F1-D01C-434C-A6B0-062E5E5DC7D0}"/>
    <hyperlink ref="A7" r:id="rId9" xr:uid="{411B719D-03B4-4975-A65F-032857DB927E}"/>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3">
        <x14:dataValidation type="list" showInputMessage="1" showErrorMessage="1" xr:uid="{C079294A-0FC0-46AA-9D8F-82B7A4850482}">
          <x14:formula1>
            <xm:f>Variables!$J$2:$J$5</xm:f>
          </x14:formula1>
          <xm:sqref>F5:F19</xm:sqref>
        </x14:dataValidation>
        <x14:dataValidation type="list" showInputMessage="1" showErrorMessage="1" xr:uid="{D17C4038-0878-48C6-86B0-234A2C7DA38C}">
          <x14:formula1>
            <xm:f>Variables!$I$2:$I$5</xm:f>
          </x14:formula1>
          <xm:sqref>E5:E19</xm:sqref>
        </x14:dataValidation>
        <x14:dataValidation type="list" allowBlank="1" showInputMessage="1" showErrorMessage="1" xr:uid="{D56AA9C5-C99C-4A99-9D4F-2E10DE3FC476}">
          <x14:formula1>
            <xm:f>Variables!$L$2:$L$4</xm:f>
          </x14:formula1>
          <xm:sqref>G5:G19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C1E1A-1617-4775-B5E7-B823C20E3C7C}">
  <sheetPr codeName="Sheet16">
    <tabColor theme="5" tint="-0.249977111117893"/>
  </sheetPr>
  <dimension ref="A1:K36"/>
  <sheetViews>
    <sheetView zoomScaleNormal="100" workbookViewId="0">
      <selection activeCell="D5" sqref="D5"/>
    </sheetView>
  </sheetViews>
  <sheetFormatPr defaultRowHeight="15" x14ac:dyDescent="0.25"/>
  <cols>
    <col min="1" max="1" width="9.140625" style="84"/>
    <col min="2" max="2" width="17.5703125" customWidth="1"/>
    <col min="3" max="3" width="18.5703125" customWidth="1"/>
    <col min="4" max="4" width="42.5703125" customWidth="1"/>
    <col min="5" max="5" width="20.5703125" customWidth="1"/>
    <col min="6" max="6" width="17" bestFit="1" customWidth="1"/>
    <col min="7" max="7" width="23.140625" customWidth="1"/>
    <col min="8" max="8" width="26.42578125" style="9" bestFit="1" customWidth="1"/>
    <col min="9" max="9" width="34.5703125" bestFit="1" customWidth="1"/>
    <col min="10" max="10" width="26.5703125" style="93" customWidth="1"/>
    <col min="11" max="11" width="35.5703125" customWidth="1"/>
  </cols>
  <sheetData>
    <row r="1" spans="1:11" s="8" customFormat="1" ht="12.75" x14ac:dyDescent="0.2">
      <c r="D1" s="226"/>
      <c r="E1" s="226"/>
      <c r="F1" s="9"/>
      <c r="G1" s="9"/>
      <c r="H1" s="9"/>
    </row>
    <row r="2" spans="1:11" s="8" customFormat="1" ht="18" x14ac:dyDescent="0.25">
      <c r="B2" s="225" t="s">
        <v>231</v>
      </c>
      <c r="C2" s="225"/>
      <c r="D2" s="225"/>
      <c r="E2" s="225"/>
      <c r="F2" s="225"/>
      <c r="G2" s="225"/>
      <c r="H2" s="225"/>
      <c r="I2" s="225"/>
      <c r="J2" s="225"/>
      <c r="K2" s="225"/>
    </row>
    <row r="3" spans="1:11" s="8" customFormat="1" ht="12.75" x14ac:dyDescent="0.2"/>
    <row r="4" spans="1:11" s="8" customFormat="1" ht="41.45" customHeight="1" thickBot="1" x14ac:dyDescent="0.25">
      <c r="A4" s="85" t="s">
        <v>66</v>
      </c>
      <c r="B4" s="50" t="s">
        <v>67</v>
      </c>
      <c r="C4" s="50" t="s">
        <v>68</v>
      </c>
      <c r="D4" s="50" t="s">
        <v>69</v>
      </c>
      <c r="E4" s="50" t="s">
        <v>70</v>
      </c>
      <c r="F4" s="50" t="s">
        <v>71</v>
      </c>
      <c r="G4" s="50" t="s">
        <v>226</v>
      </c>
      <c r="H4" s="50" t="s">
        <v>73</v>
      </c>
      <c r="I4" s="50" t="s">
        <v>74</v>
      </c>
      <c r="J4" s="113" t="s">
        <v>75</v>
      </c>
      <c r="K4" s="50" t="s">
        <v>76</v>
      </c>
    </row>
    <row r="5" spans="1:11" s="8" customFormat="1" ht="51.75" thickBot="1" x14ac:dyDescent="0.25">
      <c r="B5" s="38" t="s">
        <v>232</v>
      </c>
      <c r="C5" s="25" t="s">
        <v>79</v>
      </c>
      <c r="D5" s="35" t="s">
        <v>233</v>
      </c>
      <c r="E5" s="51" t="s">
        <v>234</v>
      </c>
      <c r="F5" s="25" t="s">
        <v>81</v>
      </c>
      <c r="G5" s="25" t="s">
        <v>82</v>
      </c>
      <c r="H5" s="25" t="s">
        <v>83</v>
      </c>
      <c r="I5" s="79" t="s">
        <v>235</v>
      </c>
      <c r="J5" s="79"/>
      <c r="K5" s="80"/>
    </row>
    <row r="6" spans="1:11" s="8" customFormat="1" ht="39" thickBot="1" x14ac:dyDescent="0.25">
      <c r="B6" s="38" t="s">
        <v>236</v>
      </c>
      <c r="C6" s="25" t="s">
        <v>79</v>
      </c>
      <c r="D6" s="35" t="s">
        <v>237</v>
      </c>
      <c r="E6" s="51" t="s">
        <v>238</v>
      </c>
      <c r="F6" s="25" t="s">
        <v>81</v>
      </c>
      <c r="G6" s="25" t="s">
        <v>82</v>
      </c>
      <c r="H6" s="25" t="s">
        <v>83</v>
      </c>
      <c r="I6" s="79" t="s">
        <v>235</v>
      </c>
      <c r="J6" s="79"/>
      <c r="K6" s="80"/>
    </row>
    <row r="7" spans="1:11" s="8" customFormat="1" ht="39" thickBot="1" x14ac:dyDescent="0.25">
      <c r="B7" s="38" t="s">
        <v>239</v>
      </c>
      <c r="C7" s="25" t="s">
        <v>79</v>
      </c>
      <c r="D7" s="35" t="s">
        <v>240</v>
      </c>
      <c r="E7" s="51" t="s">
        <v>241</v>
      </c>
      <c r="F7" s="25" t="s">
        <v>81</v>
      </c>
      <c r="G7" s="25" t="s">
        <v>82</v>
      </c>
      <c r="H7" s="25" t="s">
        <v>83</v>
      </c>
      <c r="I7" s="79" t="s">
        <v>235</v>
      </c>
      <c r="J7" s="79"/>
      <c r="K7" s="80"/>
    </row>
    <row r="8" spans="1:11" s="8" customFormat="1" ht="32.1" customHeight="1" thickBot="1" x14ac:dyDescent="0.25">
      <c r="B8" s="38" t="s">
        <v>242</v>
      </c>
      <c r="C8" s="25" t="s">
        <v>79</v>
      </c>
      <c r="D8" s="35" t="s">
        <v>243</v>
      </c>
      <c r="E8" s="51" t="s">
        <v>244</v>
      </c>
      <c r="F8" s="25" t="s">
        <v>81</v>
      </c>
      <c r="G8" s="25" t="s">
        <v>82</v>
      </c>
      <c r="H8" s="25" t="s">
        <v>83</v>
      </c>
      <c r="I8" s="79" t="s">
        <v>235</v>
      </c>
      <c r="J8" s="79"/>
      <c r="K8" s="80"/>
    </row>
    <row r="9" spans="1:11" s="8" customFormat="1" ht="76.5" x14ac:dyDescent="0.2">
      <c r="B9" s="66" t="s">
        <v>245</v>
      </c>
      <c r="C9" s="25" t="s">
        <v>79</v>
      </c>
      <c r="D9" s="35" t="s">
        <v>246</v>
      </c>
      <c r="E9" s="51" t="s">
        <v>244</v>
      </c>
      <c r="F9" s="25" t="s">
        <v>81</v>
      </c>
      <c r="G9" s="25" t="s">
        <v>82</v>
      </c>
      <c r="H9" s="25" t="s">
        <v>83</v>
      </c>
      <c r="I9" s="79" t="s">
        <v>235</v>
      </c>
      <c r="J9" s="79"/>
      <c r="K9" s="80"/>
    </row>
    <row r="10" spans="1:11" s="8" customFormat="1" ht="165.75" x14ac:dyDescent="0.2">
      <c r="B10" s="26" t="s">
        <v>247</v>
      </c>
      <c r="C10" s="62" t="s">
        <v>87</v>
      </c>
      <c r="D10" s="35" t="s">
        <v>248</v>
      </c>
      <c r="E10" s="51" t="s">
        <v>249</v>
      </c>
      <c r="F10" s="25" t="s">
        <v>81</v>
      </c>
      <c r="G10" s="25" t="s">
        <v>82</v>
      </c>
      <c r="H10" s="25" t="s">
        <v>83</v>
      </c>
      <c r="I10" s="79" t="s">
        <v>235</v>
      </c>
      <c r="J10" s="79"/>
      <c r="K10" s="80"/>
    </row>
    <row r="11" spans="1:11" ht="42.6" customHeight="1" x14ac:dyDescent="0.25">
      <c r="A11" s="93"/>
      <c r="B11" s="26" t="s">
        <v>250</v>
      </c>
      <c r="C11" s="62" t="s">
        <v>87</v>
      </c>
      <c r="D11" s="35" t="s">
        <v>251</v>
      </c>
      <c r="E11" s="51" t="s">
        <v>249</v>
      </c>
      <c r="F11" s="25" t="s">
        <v>81</v>
      </c>
      <c r="G11" s="25" t="s">
        <v>82</v>
      </c>
      <c r="H11" s="25" t="s">
        <v>83</v>
      </c>
      <c r="I11" s="79" t="s">
        <v>235</v>
      </c>
      <c r="J11" s="79"/>
      <c r="K11" s="83"/>
    </row>
    <row r="12" spans="1:11" ht="38.25" x14ac:dyDescent="0.25">
      <c r="A12" s="93"/>
      <c r="B12" s="26" t="s">
        <v>252</v>
      </c>
      <c r="C12" s="54" t="s">
        <v>79</v>
      </c>
      <c r="D12" s="35" t="s">
        <v>253</v>
      </c>
      <c r="E12" s="51" t="s">
        <v>254</v>
      </c>
      <c r="F12" s="25" t="s">
        <v>81</v>
      </c>
      <c r="G12" s="25" t="s">
        <v>82</v>
      </c>
      <c r="H12" s="25" t="s">
        <v>83</v>
      </c>
      <c r="I12" s="79" t="s">
        <v>235</v>
      </c>
      <c r="J12" s="79"/>
      <c r="K12" s="83"/>
    </row>
    <row r="13" spans="1:11" ht="51" x14ac:dyDescent="0.25">
      <c r="A13" s="93"/>
      <c r="B13" s="26" t="s">
        <v>255</v>
      </c>
      <c r="C13" s="62" t="s">
        <v>87</v>
      </c>
      <c r="D13" s="35" t="s">
        <v>256</v>
      </c>
      <c r="E13" s="51" t="s">
        <v>257</v>
      </c>
      <c r="F13" s="25" t="s">
        <v>81</v>
      </c>
      <c r="G13" s="25" t="s">
        <v>82</v>
      </c>
      <c r="H13" s="25" t="s">
        <v>83</v>
      </c>
      <c r="I13" s="79" t="s">
        <v>235</v>
      </c>
      <c r="J13" s="79"/>
      <c r="K13" s="83"/>
    </row>
    <row r="14" spans="1:11" ht="38.25" x14ac:dyDescent="0.25">
      <c r="A14" s="93"/>
      <c r="B14" s="26" t="s">
        <v>258</v>
      </c>
      <c r="C14" s="62" t="s">
        <v>87</v>
      </c>
      <c r="D14" s="35" t="s">
        <v>259</v>
      </c>
      <c r="E14" s="79"/>
      <c r="F14" s="25" t="s">
        <v>81</v>
      </c>
      <c r="G14" s="25" t="s">
        <v>82</v>
      </c>
      <c r="H14" s="25" t="s">
        <v>83</v>
      </c>
      <c r="I14" s="79" t="s">
        <v>235</v>
      </c>
      <c r="J14" s="79"/>
      <c r="K14" s="83"/>
    </row>
    <row r="15" spans="1:11" ht="76.5" x14ac:dyDescent="0.25">
      <c r="A15" s="93"/>
      <c r="B15" s="26" t="s">
        <v>260</v>
      </c>
      <c r="C15" s="62" t="s">
        <v>87</v>
      </c>
      <c r="D15" s="35" t="s">
        <v>261</v>
      </c>
      <c r="E15" s="51" t="s">
        <v>249</v>
      </c>
      <c r="F15" s="25" t="s">
        <v>81</v>
      </c>
      <c r="G15" s="25" t="s">
        <v>82</v>
      </c>
      <c r="H15" s="25" t="s">
        <v>83</v>
      </c>
      <c r="I15" s="79" t="s">
        <v>153</v>
      </c>
      <c r="J15" s="79"/>
      <c r="K15" s="83"/>
    </row>
    <row r="16" spans="1:11" ht="140.25" x14ac:dyDescent="0.25">
      <c r="A16" s="93"/>
      <c r="B16" s="26" t="s">
        <v>262</v>
      </c>
      <c r="C16" s="54" t="s">
        <v>79</v>
      </c>
      <c r="D16" s="35" t="s">
        <v>263</v>
      </c>
      <c r="E16" s="51" t="s">
        <v>254</v>
      </c>
      <c r="F16" s="25" t="s">
        <v>81</v>
      </c>
      <c r="G16" s="25" t="s">
        <v>82</v>
      </c>
      <c r="H16" s="25" t="s">
        <v>83</v>
      </c>
      <c r="I16" s="79" t="s">
        <v>235</v>
      </c>
      <c r="J16" s="79"/>
      <c r="K16" s="83"/>
    </row>
    <row r="17" spans="2:11" ht="89.25" x14ac:dyDescent="0.25">
      <c r="B17" s="26" t="s">
        <v>264</v>
      </c>
      <c r="C17" s="54" t="s">
        <v>79</v>
      </c>
      <c r="D17" s="35" t="s">
        <v>265</v>
      </c>
      <c r="E17" s="51" t="s">
        <v>266</v>
      </c>
      <c r="F17" s="25" t="s">
        <v>81</v>
      </c>
      <c r="G17" s="25" t="s">
        <v>82</v>
      </c>
      <c r="H17" s="25" t="s">
        <v>83</v>
      </c>
      <c r="I17" s="79" t="s">
        <v>103</v>
      </c>
      <c r="J17" s="79"/>
      <c r="K17" s="83"/>
    </row>
    <row r="18" spans="2:11" ht="25.5" x14ac:dyDescent="0.25">
      <c r="B18" s="26" t="s">
        <v>267</v>
      </c>
      <c r="C18" s="68" t="s">
        <v>99</v>
      </c>
      <c r="D18" s="68" t="s">
        <v>98</v>
      </c>
      <c r="E18" s="68" t="s">
        <v>98</v>
      </c>
      <c r="F18" s="68" t="s">
        <v>99</v>
      </c>
      <c r="G18" s="68" t="s">
        <v>99</v>
      </c>
      <c r="H18" s="68" t="s">
        <v>99</v>
      </c>
      <c r="I18" s="68" t="s">
        <v>98</v>
      </c>
      <c r="J18" s="68"/>
      <c r="K18" s="83"/>
    </row>
    <row r="19" spans="2:11" ht="63.75" x14ac:dyDescent="0.25">
      <c r="B19" s="26" t="s">
        <v>268</v>
      </c>
      <c r="C19" s="54" t="s">
        <v>79</v>
      </c>
      <c r="D19" s="35" t="s">
        <v>269</v>
      </c>
      <c r="E19" s="51"/>
      <c r="F19" s="25" t="s">
        <v>81</v>
      </c>
      <c r="G19" s="25" t="s">
        <v>82</v>
      </c>
      <c r="H19" s="25" t="s">
        <v>83</v>
      </c>
      <c r="I19" s="79" t="s">
        <v>235</v>
      </c>
      <c r="J19" s="79"/>
      <c r="K19" s="83"/>
    </row>
    <row r="20" spans="2:11" ht="25.5" x14ac:dyDescent="0.25">
      <c r="B20" s="26" t="s">
        <v>270</v>
      </c>
      <c r="C20" s="68" t="s">
        <v>99</v>
      </c>
      <c r="D20" s="68" t="s">
        <v>98</v>
      </c>
      <c r="E20" s="68" t="s">
        <v>98</v>
      </c>
      <c r="F20" s="68" t="s">
        <v>99</v>
      </c>
      <c r="G20" s="68" t="s">
        <v>99</v>
      </c>
      <c r="H20" s="68" t="s">
        <v>99</v>
      </c>
      <c r="I20" s="68" t="s">
        <v>98</v>
      </c>
      <c r="J20" s="68"/>
      <c r="K20" s="83"/>
    </row>
    <row r="21" spans="2:11" ht="51" x14ac:dyDescent="0.25">
      <c r="B21" s="26" t="s">
        <v>271</v>
      </c>
      <c r="C21" s="54" t="s">
        <v>79</v>
      </c>
      <c r="D21" s="35" t="s">
        <v>272</v>
      </c>
      <c r="E21" s="51" t="s">
        <v>273</v>
      </c>
      <c r="F21" s="25" t="s">
        <v>81</v>
      </c>
      <c r="G21" s="25" t="s">
        <v>82</v>
      </c>
      <c r="H21" s="25" t="s">
        <v>83</v>
      </c>
      <c r="I21" s="79" t="s">
        <v>235</v>
      </c>
      <c r="J21" s="79"/>
      <c r="K21" s="83"/>
    </row>
    <row r="22" spans="2:11" ht="140.25" x14ac:dyDescent="0.25">
      <c r="B22" s="26" t="s">
        <v>274</v>
      </c>
      <c r="C22" s="54" t="s">
        <v>79</v>
      </c>
      <c r="D22" s="35" t="s">
        <v>275</v>
      </c>
      <c r="E22" s="51"/>
      <c r="F22" s="25" t="s">
        <v>81</v>
      </c>
      <c r="G22" s="25" t="s">
        <v>82</v>
      </c>
      <c r="H22" s="25" t="s">
        <v>83</v>
      </c>
      <c r="I22" s="79" t="s">
        <v>235</v>
      </c>
      <c r="J22" s="79"/>
      <c r="K22" s="83"/>
    </row>
    <row r="23" spans="2:11" ht="89.25" x14ac:dyDescent="0.25">
      <c r="B23" s="26" t="s">
        <v>276</v>
      </c>
      <c r="C23" s="54" t="s">
        <v>79</v>
      </c>
      <c r="D23" s="35" t="s">
        <v>277</v>
      </c>
      <c r="E23" s="51"/>
      <c r="F23" s="25" t="s">
        <v>81</v>
      </c>
      <c r="G23" s="25" t="s">
        <v>82</v>
      </c>
      <c r="H23" s="25" t="s">
        <v>83</v>
      </c>
      <c r="I23" s="79" t="s">
        <v>235</v>
      </c>
      <c r="J23" s="79"/>
      <c r="K23" s="83"/>
    </row>
    <row r="24" spans="2:11" ht="63.75" x14ac:dyDescent="0.25">
      <c r="B24" s="26" t="s">
        <v>278</v>
      </c>
      <c r="C24" s="54" t="s">
        <v>79</v>
      </c>
      <c r="D24" s="35" t="s">
        <v>279</v>
      </c>
      <c r="E24" s="51"/>
      <c r="F24" s="25" t="s">
        <v>81</v>
      </c>
      <c r="G24" s="25" t="s">
        <v>82</v>
      </c>
      <c r="H24" s="25" t="s">
        <v>83</v>
      </c>
      <c r="I24" s="79" t="s">
        <v>235</v>
      </c>
      <c r="J24" s="79"/>
      <c r="K24" s="83"/>
    </row>
    <row r="25" spans="2:11" ht="63.75" x14ac:dyDescent="0.25">
      <c r="B25" s="26" t="s">
        <v>280</v>
      </c>
      <c r="C25" s="62" t="s">
        <v>87</v>
      </c>
      <c r="D25" s="35" t="s">
        <v>281</v>
      </c>
      <c r="E25" s="51"/>
      <c r="F25" s="25" t="s">
        <v>81</v>
      </c>
      <c r="G25" s="25" t="s">
        <v>82</v>
      </c>
      <c r="H25" s="25" t="s">
        <v>83</v>
      </c>
      <c r="I25" s="79" t="s">
        <v>235</v>
      </c>
      <c r="J25" s="79"/>
      <c r="K25" s="83"/>
    </row>
    <row r="26" spans="2:11" s="8" customFormat="1" ht="25.5" x14ac:dyDescent="0.2">
      <c r="B26" s="26" t="s">
        <v>175</v>
      </c>
      <c r="C26" s="68" t="s">
        <v>98</v>
      </c>
      <c r="D26" s="68" t="s">
        <v>98</v>
      </c>
      <c r="E26" s="68" t="s">
        <v>98</v>
      </c>
      <c r="F26" s="68" t="s">
        <v>99</v>
      </c>
      <c r="G26" s="68" t="s">
        <v>99</v>
      </c>
      <c r="H26" s="68" t="s">
        <v>99</v>
      </c>
      <c r="I26" s="68" t="s">
        <v>98</v>
      </c>
      <c r="J26" s="68"/>
      <c r="K26" s="80"/>
    </row>
    <row r="27" spans="2:11" s="8" customFormat="1" ht="25.5" x14ac:dyDescent="0.2">
      <c r="B27" s="26" t="s">
        <v>107</v>
      </c>
      <c r="C27" s="63"/>
      <c r="D27" s="44"/>
      <c r="E27" s="28"/>
      <c r="F27" s="25"/>
      <c r="G27" s="25"/>
      <c r="H27" s="25"/>
      <c r="I27" s="74"/>
      <c r="J27" s="74"/>
      <c r="K27" s="80"/>
    </row>
    <row r="28" spans="2:11" s="8" customFormat="1" ht="25.5" x14ac:dyDescent="0.2">
      <c r="B28" s="26" t="s">
        <v>107</v>
      </c>
      <c r="C28" s="64"/>
      <c r="D28" s="25"/>
      <c r="E28" s="28"/>
      <c r="F28" s="25"/>
      <c r="G28" s="25"/>
      <c r="H28" s="25"/>
      <c r="I28" s="74"/>
      <c r="J28" s="74"/>
      <c r="K28" s="80"/>
    </row>
    <row r="29" spans="2:11" s="8" customFormat="1" ht="25.5" x14ac:dyDescent="0.2">
      <c r="B29" s="26" t="s">
        <v>107</v>
      </c>
      <c r="C29" s="65"/>
      <c r="D29" s="25"/>
      <c r="E29" s="28"/>
      <c r="F29" s="25"/>
      <c r="G29" s="25"/>
      <c r="H29" s="25"/>
      <c r="I29" s="74"/>
      <c r="J29" s="74"/>
      <c r="K29" s="80"/>
    </row>
    <row r="30" spans="2:11" s="8" customFormat="1" ht="25.5" x14ac:dyDescent="0.2">
      <c r="B30" s="26" t="s">
        <v>107</v>
      </c>
      <c r="C30" s="65"/>
      <c r="D30" s="25"/>
      <c r="E30" s="28"/>
      <c r="F30" s="25"/>
      <c r="G30" s="25"/>
      <c r="H30" s="25"/>
      <c r="I30" s="74"/>
      <c r="J30" s="74"/>
      <c r="K30" s="80"/>
    </row>
    <row r="31" spans="2:11" s="8" customFormat="1" ht="25.5" x14ac:dyDescent="0.2">
      <c r="B31" s="26" t="s">
        <v>107</v>
      </c>
      <c r="C31" s="29"/>
      <c r="D31" s="25"/>
      <c r="E31" s="28"/>
      <c r="F31" s="25"/>
      <c r="G31" s="25"/>
      <c r="H31" s="25"/>
      <c r="I31" s="74"/>
      <c r="J31" s="74"/>
      <c r="K31" s="80"/>
    </row>
    <row r="32" spans="2:11" ht="12.95" customHeight="1" x14ac:dyDescent="0.25">
      <c r="B32" s="93"/>
      <c r="C32" s="93"/>
      <c r="D32" s="227" t="s">
        <v>108</v>
      </c>
      <c r="E32" s="26" t="s">
        <v>109</v>
      </c>
      <c r="F32" s="39">
        <f>COUNTIFS($F$5:$F$31,"Completed")</f>
        <v>0</v>
      </c>
      <c r="G32" s="39">
        <f>COUNTIFS($G$5:$G$31,"YES")</f>
        <v>0</v>
      </c>
      <c r="I32" s="93"/>
      <c r="K32" s="93"/>
    </row>
    <row r="33" spans="4:7" ht="12.95" customHeight="1" x14ac:dyDescent="0.25">
      <c r="D33" s="228"/>
      <c r="E33" s="26" t="s">
        <v>110</v>
      </c>
      <c r="F33" s="39">
        <f>COUNTIFS($F$5:$F$31,"Not started")</f>
        <v>19</v>
      </c>
      <c r="G33" s="39">
        <f>COUNTIFS($G$5:$G$31,"TBC")</f>
        <v>19</v>
      </c>
    </row>
    <row r="34" spans="4:7" ht="12.95" customHeight="1" x14ac:dyDescent="0.25">
      <c r="D34" s="228"/>
      <c r="E34" s="26" t="s">
        <v>99</v>
      </c>
      <c r="F34" s="39">
        <f>COUNTIFS($F$5:$F$31,"NOT APPLICABLE")</f>
        <v>3</v>
      </c>
      <c r="G34" s="39">
        <f>COUNTIFS($G$5:$G$31,"NOT APPLICABLE")</f>
        <v>3</v>
      </c>
    </row>
    <row r="35" spans="4:7" ht="12.95" customHeight="1" x14ac:dyDescent="0.25">
      <c r="D35" s="228"/>
      <c r="E35" s="26" t="s">
        <v>111</v>
      </c>
      <c r="F35" s="39">
        <f>COUNTIFS($F$5:$F$31,"IN PROGRESS")</f>
        <v>0</v>
      </c>
      <c r="G35" s="39">
        <f>COUNTIFS($G$5:$G$31,"IN PROGRESS")</f>
        <v>0</v>
      </c>
    </row>
    <row r="36" spans="4:7" x14ac:dyDescent="0.25">
      <c r="D36" s="228"/>
      <c r="E36" s="26" t="s">
        <v>112</v>
      </c>
      <c r="F36" s="97">
        <f>SUM(F32:F35)</f>
        <v>22</v>
      </c>
      <c r="G36" s="97">
        <f>SUM(G32:G35)</f>
        <v>22</v>
      </c>
    </row>
  </sheetData>
  <mergeCells count="3">
    <mergeCell ref="D1:E1"/>
    <mergeCell ref="D32:D36"/>
    <mergeCell ref="B2:K2"/>
  </mergeCells>
  <dataValidations count="1">
    <dataValidation showInputMessage="1" showErrorMessage="1" sqref="D27:D31" xr:uid="{D8F6AB77-EA8B-458F-9B9C-2EDAB3DA846D}"/>
  </dataValidations>
  <hyperlinks>
    <hyperlink ref="J4" r:id="rId1" xr:uid="{E6E63FC5-0A61-4EB1-8324-F2C771BF2075}"/>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5">
        <x14:dataValidation type="list" showInputMessage="1" showErrorMessage="1" xr:uid="{5B85C44E-B939-422B-B506-FB1EC3B0D605}">
          <x14:formula1>
            <xm:f>Variables!$I$2:$I$5</xm:f>
          </x14:formula1>
          <xm:sqref>F5:F31</xm:sqref>
        </x14:dataValidation>
        <x14:dataValidation type="list" allowBlank="1" showInputMessage="1" showErrorMessage="1" xr:uid="{66C1C64A-991E-4EA3-9815-D61DFAF8D1E3}">
          <x14:formula1>
            <xm:f>Variables!$J$2:$J$5</xm:f>
          </x14:formula1>
          <xm:sqref>G8:G31</xm:sqref>
        </x14:dataValidation>
        <x14:dataValidation type="list" showInputMessage="1" showErrorMessage="1" xr:uid="{F59A4AF8-C1B7-44D6-AEE4-FE00126F3D1B}">
          <x14:formula1>
            <xm:f>Variables!$A$2:$A$4</xm:f>
          </x14:formula1>
          <xm:sqref>C5:C31</xm:sqref>
        </x14:dataValidation>
        <x14:dataValidation type="list" allowBlank="1" showInputMessage="1" showErrorMessage="1" xr:uid="{6DB22046-BD0F-47B6-BFAE-121DDCEF0867}">
          <x14:formula1>
            <xm:f>Variables!$L$2:$L$4</xm:f>
          </x14:formula1>
          <xm:sqref>H5:H31</xm:sqref>
        </x14:dataValidation>
        <x14:dataValidation type="list" showInputMessage="1" showErrorMessage="1" xr:uid="{AAB6FA8B-7930-466B-B512-F66CC1D621CE}">
          <x14:formula1>
            <xm:f>Variables!$J$2:$J$5</xm:f>
          </x14:formula1>
          <xm:sqref>G5:G7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A32E8-46C0-476B-AEFC-4C500E63557B}">
  <sheetPr codeName="Sheet17">
    <tabColor rgb="FF0073CD"/>
  </sheetPr>
  <dimension ref="A1:K34"/>
  <sheetViews>
    <sheetView showGridLines="0" topLeftCell="J7" zoomScaleNormal="100" workbookViewId="0">
      <selection activeCell="J7" sqref="J7"/>
    </sheetView>
  </sheetViews>
  <sheetFormatPr defaultRowHeight="15" x14ac:dyDescent="0.25"/>
  <cols>
    <col min="1" max="1" width="11.5703125" style="161" customWidth="1"/>
    <col min="2" max="2" width="17.5703125" style="8" customWidth="1"/>
    <col min="3" max="3" width="18.5703125" style="8" customWidth="1"/>
    <col min="4" max="4" width="33.5703125" style="8" bestFit="1" customWidth="1"/>
    <col min="5" max="5" width="23.42578125" style="8" customWidth="1"/>
    <col min="6" max="6" width="17" style="9" bestFit="1" customWidth="1"/>
    <col min="7" max="8" width="22" style="9" customWidth="1"/>
    <col min="9" max="9" width="34.5703125" style="8" bestFit="1" customWidth="1"/>
    <col min="10" max="10" width="25.42578125" style="93" bestFit="1"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x14ac:dyDescent="0.2">
      <c r="C1" s="226"/>
      <c r="D1" s="226"/>
      <c r="E1" s="173"/>
      <c r="J1" s="8"/>
    </row>
    <row r="2" spans="1:11" ht="18" x14ac:dyDescent="0.25">
      <c r="B2" s="225" t="s">
        <v>113</v>
      </c>
      <c r="C2" s="225"/>
      <c r="D2" s="225"/>
      <c r="E2" s="225"/>
      <c r="F2" s="225"/>
      <c r="G2" s="225"/>
      <c r="H2" s="225"/>
      <c r="I2" s="225"/>
      <c r="J2" s="225"/>
      <c r="K2" s="225"/>
    </row>
    <row r="3" spans="1:11" ht="12.75" x14ac:dyDescent="0.2">
      <c r="F3" s="8"/>
      <c r="G3" s="8"/>
      <c r="H3" s="8"/>
      <c r="J3" s="8"/>
    </row>
    <row r="4" spans="1:11" ht="53.1"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ht="70.5" customHeight="1" thickBot="1" x14ac:dyDescent="0.25">
      <c r="A5" s="162" t="s">
        <v>114</v>
      </c>
      <c r="B5" s="24" t="s">
        <v>115</v>
      </c>
      <c r="C5" s="25" t="s">
        <v>87</v>
      </c>
      <c r="D5" s="131" t="str">
        <f>VLOOKUP(A5,'Control Sheet'!_xlnm._FilterDatabase, 2,FALSE)</f>
        <v>Perform a monthly vulnerability scan. 
Remediate severity 4 and 5 vulnerabilities within two days of discovery and severity 3 vulnerabilities within seven days (TBC).</v>
      </c>
      <c r="E5" s="51" t="s">
        <v>138</v>
      </c>
      <c r="F5" s="25" t="s">
        <v>81</v>
      </c>
      <c r="G5" s="25" t="s">
        <v>82</v>
      </c>
      <c r="H5" s="25" t="s">
        <v>83</v>
      </c>
      <c r="I5" s="79" t="s">
        <v>120</v>
      </c>
      <c r="J5" s="79"/>
      <c r="K5" s="80"/>
    </row>
    <row r="6" spans="1:11" ht="57" customHeight="1" thickBot="1" x14ac:dyDescent="0.25">
      <c r="A6" s="162" t="s">
        <v>117</v>
      </c>
      <c r="B6" s="24" t="s">
        <v>118</v>
      </c>
      <c r="C6" s="25" t="s">
        <v>79</v>
      </c>
      <c r="D6" s="131" t="str">
        <f>VLOOKUP(A6,'Control Sheet'!_xlnm._FilterDatabase, 2,FALSE)</f>
        <v>Enable host-based firewall in default deny mode and permit the Baseline necessary services.</v>
      </c>
      <c r="E6" s="51" t="s">
        <v>282</v>
      </c>
      <c r="F6" s="25" t="s">
        <v>81</v>
      </c>
      <c r="G6" s="25" t="s">
        <v>82</v>
      </c>
      <c r="H6" s="25" t="s">
        <v>83</v>
      </c>
      <c r="I6" s="79" t="s">
        <v>120</v>
      </c>
      <c r="J6" s="79"/>
      <c r="K6" s="80"/>
    </row>
    <row r="7" spans="1:11" ht="123.95" customHeight="1" thickBot="1" x14ac:dyDescent="0.25">
      <c r="A7" s="162" t="s">
        <v>121</v>
      </c>
      <c r="B7" s="24" t="s">
        <v>122</v>
      </c>
      <c r="C7" s="25"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102.95" customHeight="1" thickBot="1" x14ac:dyDescent="0.25">
      <c r="A8" s="162" t="s">
        <v>124</v>
      </c>
      <c r="B8" s="24" t="s">
        <v>125</v>
      </c>
      <c r="C8" s="25" t="s">
        <v>87</v>
      </c>
      <c r="D8" s="131" t="str">
        <f>VLOOKUP(A8,'Control Sheet'!_xlnm._FilterDatabase, 2,FALSE)</f>
        <v>Forward logs to a remote log server. Logs should be made available to NG CSOC</v>
      </c>
      <c r="E8" s="51" t="s">
        <v>126</v>
      </c>
      <c r="F8" s="25" t="s">
        <v>81</v>
      </c>
      <c r="G8" s="25" t="s">
        <v>82</v>
      </c>
      <c r="H8" s="25" t="s">
        <v>83</v>
      </c>
      <c r="I8" s="79" t="s">
        <v>127</v>
      </c>
      <c r="J8" s="79"/>
      <c r="K8" s="80"/>
    </row>
    <row r="9" spans="1:11" ht="117" customHeight="1" thickBot="1" x14ac:dyDescent="0.25">
      <c r="A9" s="162" t="s">
        <v>104</v>
      </c>
      <c r="B9" s="26" t="s">
        <v>105</v>
      </c>
      <c r="C9" s="25" t="s">
        <v>87</v>
      </c>
      <c r="D9" s="131" t="str">
        <f>VLOOKUP(A9,'Control Sheet'!_xlnm._FilterDatabase, 2,FALSE)</f>
        <v>1) Deploy appropriate security service for intrusion detection.
2) Review alerts as they are received.
3) Integrate log with Cyber Security Operation Centre (CSOC) log service.</v>
      </c>
      <c r="E9" s="51" t="s">
        <v>128</v>
      </c>
      <c r="F9" s="25" t="s">
        <v>81</v>
      </c>
      <c r="G9" s="25" t="s">
        <v>82</v>
      </c>
      <c r="H9" s="25" t="s">
        <v>83</v>
      </c>
      <c r="I9" s="79" t="s">
        <v>120</v>
      </c>
      <c r="J9" s="79"/>
      <c r="K9" s="80"/>
    </row>
    <row r="10" spans="1:11" ht="55.5" customHeight="1" thickBot="1" x14ac:dyDescent="0.25">
      <c r="A10" s="162" t="s">
        <v>129</v>
      </c>
      <c r="B10" s="26" t="s">
        <v>130</v>
      </c>
      <c r="C10" s="25" t="s">
        <v>79</v>
      </c>
      <c r="D10" s="131" t="str">
        <f>VLOOKUP(A10,'Control Sheet'!_xlnm._FilterDatabase, 2,FALSE)</f>
        <v>Place system hardware in National Grid authorized datacenter.</v>
      </c>
      <c r="E10" s="51" t="s">
        <v>131</v>
      </c>
      <c r="F10" s="25" t="s">
        <v>81</v>
      </c>
      <c r="G10" s="25" t="s">
        <v>82</v>
      </c>
      <c r="H10" s="25" t="s">
        <v>83</v>
      </c>
      <c r="I10" s="79" t="s">
        <v>132</v>
      </c>
      <c r="J10" s="79"/>
      <c r="K10" s="80"/>
    </row>
    <row r="11" spans="1:11" ht="45" customHeight="1" thickBot="1" x14ac:dyDescent="0.25">
      <c r="A11" s="162" t="s">
        <v>283</v>
      </c>
      <c r="B11" s="26" t="s">
        <v>134</v>
      </c>
      <c r="C11" s="25" t="s">
        <v>79</v>
      </c>
      <c r="D11" s="131" t="str">
        <f>VLOOKUP(A11,'Control Sheet'!_xlnm._FilterDatabase, 2,FALSE)</f>
        <v>Access administrative accounts only through a Privileged Access Workstation (PAW).</v>
      </c>
      <c r="E11" s="51" t="s">
        <v>227</v>
      </c>
      <c r="F11" s="25" t="s">
        <v>81</v>
      </c>
      <c r="G11" s="25" t="s">
        <v>82</v>
      </c>
      <c r="H11" s="25" t="s">
        <v>83</v>
      </c>
      <c r="I11" s="79" t="s">
        <v>103</v>
      </c>
      <c r="J11" s="79"/>
      <c r="K11" s="80"/>
    </row>
    <row r="12" spans="1:11" ht="108.6" customHeight="1" thickBot="1" x14ac:dyDescent="0.25">
      <c r="A12" s="162" t="s">
        <v>85</v>
      </c>
      <c r="B12" s="26" t="s">
        <v>86</v>
      </c>
      <c r="C12" s="25" t="s">
        <v>87</v>
      </c>
      <c r="D12" s="131" t="str">
        <f>VLOOKUP(A12,'Control Sheet'!_xlnm._FilterDatabase, 2,FALSE)</f>
        <v>Ensure all systems deploy approved antivirus and malware defense solution</v>
      </c>
      <c r="E12" s="51" t="s">
        <v>284</v>
      </c>
      <c r="F12" s="25" t="s">
        <v>81</v>
      </c>
      <c r="G12" s="25" t="s">
        <v>82</v>
      </c>
      <c r="H12" s="25" t="s">
        <v>83</v>
      </c>
      <c r="I12" s="79" t="s">
        <v>120</v>
      </c>
      <c r="J12" s="79"/>
      <c r="K12" s="80"/>
    </row>
    <row r="13" spans="1:11" ht="179.25" thickBot="1" x14ac:dyDescent="0.25">
      <c r="A13" s="162" t="s">
        <v>89</v>
      </c>
      <c r="B13" s="26" t="s">
        <v>285</v>
      </c>
      <c r="C13" s="25"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91</v>
      </c>
      <c r="F13" s="25" t="s">
        <v>81</v>
      </c>
      <c r="G13" s="25" t="s">
        <v>82</v>
      </c>
      <c r="H13" s="25" t="s">
        <v>83</v>
      </c>
      <c r="I13" s="79" t="s">
        <v>120</v>
      </c>
      <c r="J13" s="79"/>
      <c r="K13" s="80"/>
    </row>
    <row r="14" spans="1:11" ht="135" customHeight="1" thickBot="1" x14ac:dyDescent="0.25">
      <c r="A14" s="162" t="s">
        <v>96</v>
      </c>
      <c r="B14" s="26" t="s">
        <v>97</v>
      </c>
      <c r="C14" s="25" t="s">
        <v>79</v>
      </c>
      <c r="D14" s="131" t="str">
        <f>VLOOKUP(A14,'Control Sheet'!_xlnm._FilterDatabase, 2,FALSE)</f>
        <v>Follow all regulatory data controls as applicable (NIST 800-171, PCI DSS, GDPR, etc.).</v>
      </c>
      <c r="E14" s="75" t="s">
        <v>170</v>
      </c>
      <c r="F14" s="25" t="s">
        <v>81</v>
      </c>
      <c r="G14" s="25" t="s">
        <v>82</v>
      </c>
      <c r="H14" s="25" t="s">
        <v>83</v>
      </c>
      <c r="I14" s="79" t="s">
        <v>171</v>
      </c>
      <c r="J14" s="79"/>
      <c r="K14" s="80"/>
    </row>
    <row r="15" spans="1:11" ht="99.95" customHeight="1" thickBot="1" x14ac:dyDescent="0.25">
      <c r="A15" s="167" t="s">
        <v>100</v>
      </c>
      <c r="B15" s="26" t="s">
        <v>101</v>
      </c>
      <c r="C15" s="25" t="s">
        <v>79</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75" t="s">
        <v>102</v>
      </c>
      <c r="F15" s="25" t="s">
        <v>81</v>
      </c>
      <c r="G15" s="25" t="s">
        <v>82</v>
      </c>
      <c r="H15" s="25" t="s">
        <v>83</v>
      </c>
      <c r="I15" s="79" t="s">
        <v>103</v>
      </c>
      <c r="J15" s="79"/>
      <c r="K15" s="80"/>
    </row>
    <row r="16" spans="1:11" ht="77.25" thickBot="1" x14ac:dyDescent="0.25">
      <c r="A16" s="162" t="s">
        <v>136</v>
      </c>
      <c r="B16" s="26" t="s">
        <v>175</v>
      </c>
      <c r="C16" s="25" t="s">
        <v>79</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78" t="s">
        <v>138</v>
      </c>
      <c r="F16" s="128" t="s">
        <v>81</v>
      </c>
      <c r="G16" s="128" t="s">
        <v>82</v>
      </c>
      <c r="H16" s="128" t="s">
        <v>83</v>
      </c>
      <c r="I16" s="130" t="s">
        <v>95</v>
      </c>
      <c r="J16" s="79"/>
      <c r="K16" s="80"/>
    </row>
    <row r="17" spans="1:11" ht="51" customHeight="1" thickBot="1" x14ac:dyDescent="0.25">
      <c r="A17" s="162" t="s">
        <v>139</v>
      </c>
      <c r="B17" s="26" t="s">
        <v>140</v>
      </c>
      <c r="C17" s="151" t="s">
        <v>87</v>
      </c>
      <c r="D17" s="131" t="str">
        <f>VLOOKUP(A17,'Control Sheet'!_xlnm._FilterDatabase, 2,FALSE)</f>
        <v>OS &amp; Software packages supported by vendor for 3 years (perpetual)</v>
      </c>
      <c r="E17" s="75" t="s">
        <v>141</v>
      </c>
      <c r="F17" s="25" t="s">
        <v>81</v>
      </c>
      <c r="G17" s="25" t="s">
        <v>82</v>
      </c>
      <c r="H17" s="25" t="s">
        <v>83</v>
      </c>
      <c r="I17" s="79" t="s">
        <v>141</v>
      </c>
      <c r="J17" s="129"/>
      <c r="K17" s="80"/>
    </row>
    <row r="18" spans="1:11" ht="30.75" thickBot="1" x14ac:dyDescent="0.25">
      <c r="A18" s="162" t="s">
        <v>142</v>
      </c>
      <c r="B18" s="94" t="s">
        <v>143</v>
      </c>
      <c r="C18" s="153" t="s">
        <v>79</v>
      </c>
      <c r="D18" s="131" t="str">
        <f>VLOOKUP(A18,'Control Sheet'!_xlnm._FilterDatabase, 2,FALSE)</f>
        <v>Production, and non-production environments should be segregated </v>
      </c>
      <c r="E18" s="127" t="s">
        <v>141</v>
      </c>
      <c r="F18" s="25" t="s">
        <v>81</v>
      </c>
      <c r="G18" s="25" t="s">
        <v>82</v>
      </c>
      <c r="H18" s="25" t="s">
        <v>83</v>
      </c>
      <c r="I18" s="79" t="s">
        <v>141</v>
      </c>
      <c r="J18" s="129"/>
      <c r="K18" s="80"/>
    </row>
    <row r="19" spans="1:11" ht="30.75" thickBot="1" x14ac:dyDescent="0.25">
      <c r="A19" s="162" t="s">
        <v>144</v>
      </c>
      <c r="B19" s="94" t="s">
        <v>145</v>
      </c>
      <c r="C19" s="154" t="s">
        <v>79</v>
      </c>
      <c r="D19" s="131" t="str">
        <f>VLOOKUP(A19,'Control Sheet'!_xlnm._FilterDatabase, 2,FALSE)</f>
        <v>Development Environments cannot be exposed to the internet </v>
      </c>
      <c r="E19" s="127" t="s">
        <v>141</v>
      </c>
      <c r="F19" s="25" t="s">
        <v>81</v>
      </c>
      <c r="G19" s="25" t="s">
        <v>82</v>
      </c>
      <c r="H19" s="25" t="s">
        <v>83</v>
      </c>
      <c r="I19" s="79" t="s">
        <v>141</v>
      </c>
      <c r="J19" s="129"/>
      <c r="K19" s="80"/>
    </row>
    <row r="20" spans="1:11" ht="39" thickBot="1" x14ac:dyDescent="0.25">
      <c r="A20" s="162" t="s">
        <v>146</v>
      </c>
      <c r="B20" s="94" t="s">
        <v>147</v>
      </c>
      <c r="C20" s="154" t="s">
        <v>79</v>
      </c>
      <c r="D20" s="131" t="str">
        <f>VLOOKUP(A20,'Control Sheet'!_xlnm._FilterDatabase, 2,FALSE)</f>
        <v>UAT Environments should only be exposed to the internet if full production controls are in place </v>
      </c>
      <c r="E20" s="127" t="s">
        <v>141</v>
      </c>
      <c r="F20" s="25" t="s">
        <v>81</v>
      </c>
      <c r="G20" s="25" t="s">
        <v>82</v>
      </c>
      <c r="H20" s="25" t="s">
        <v>83</v>
      </c>
      <c r="I20" s="79" t="s">
        <v>141</v>
      </c>
      <c r="J20" s="129"/>
      <c r="K20" s="80"/>
    </row>
    <row r="21" spans="1:11" ht="64.5" thickBot="1" x14ac:dyDescent="0.25">
      <c r="A21" s="162" t="s">
        <v>148</v>
      </c>
      <c r="B21" s="94" t="s">
        <v>149</v>
      </c>
      <c r="C21" s="154" t="s">
        <v>79</v>
      </c>
      <c r="D21" s="131" t="str">
        <f>VLOOKUP(A21,'Control Sheet'!_xlnm._FilterDatabase, 2,FALSE)</f>
        <v>Non-Production environments will not have production data especially personally identifiable information without obfuscation or anonymization </v>
      </c>
      <c r="E21" s="127" t="s">
        <v>141</v>
      </c>
      <c r="F21" s="25" t="s">
        <v>81</v>
      </c>
      <c r="G21" s="25" t="s">
        <v>82</v>
      </c>
      <c r="H21" s="25" t="s">
        <v>83</v>
      </c>
      <c r="I21" s="79" t="s">
        <v>141</v>
      </c>
      <c r="J21" s="129"/>
      <c r="K21" s="80"/>
    </row>
    <row r="22" spans="1:11" ht="39" thickBot="1" x14ac:dyDescent="0.25">
      <c r="A22" s="162" t="s">
        <v>77</v>
      </c>
      <c r="B22" s="149" t="s">
        <v>78</v>
      </c>
      <c r="C22" s="155" t="s">
        <v>79</v>
      </c>
      <c r="D22" s="150" t="str">
        <f>VLOOKUP(A22,'Control Sheet'!_xlnm._FilterDatabase, 2,FALSE)</f>
        <v>Enable disk encryption using NG approved tool and apply recommended settings</v>
      </c>
      <c r="E22" s="51" t="s">
        <v>80</v>
      </c>
      <c r="F22" s="25" t="s">
        <v>81</v>
      </c>
      <c r="G22" s="25" t="s">
        <v>82</v>
      </c>
      <c r="H22" s="25" t="s">
        <v>83</v>
      </c>
      <c r="I22" s="79" t="s">
        <v>84</v>
      </c>
      <c r="J22" s="79"/>
      <c r="K22" s="80"/>
    </row>
    <row r="23" spans="1:11" ht="64.5" thickBot="1" x14ac:dyDescent="0.25">
      <c r="A23" s="162" t="s">
        <v>150</v>
      </c>
      <c r="B23" s="26" t="s">
        <v>151</v>
      </c>
      <c r="C23" s="152" t="s">
        <v>87</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286</v>
      </c>
      <c r="F23" s="25" t="s">
        <v>81</v>
      </c>
      <c r="G23" s="25" t="s">
        <v>82</v>
      </c>
      <c r="H23" s="25" t="s">
        <v>83</v>
      </c>
      <c r="I23" s="79" t="s">
        <v>153</v>
      </c>
      <c r="J23" s="79"/>
      <c r="K23" s="80"/>
    </row>
    <row r="24" spans="1:11" ht="90" thickBot="1" x14ac:dyDescent="0.25">
      <c r="A24" s="168" t="s">
        <v>154</v>
      </c>
      <c r="B24" s="89" t="s">
        <v>155</v>
      </c>
      <c r="C24" s="25" t="s">
        <v>79</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287</v>
      </c>
      <c r="F24" s="25" t="s">
        <v>81</v>
      </c>
      <c r="G24" s="25" t="s">
        <v>82</v>
      </c>
      <c r="H24" s="25" t="s">
        <v>83</v>
      </c>
      <c r="I24" s="79" t="s">
        <v>153</v>
      </c>
      <c r="J24" s="79"/>
      <c r="K24" s="80"/>
    </row>
    <row r="25" spans="1:11" ht="12.75" x14ac:dyDescent="0.2">
      <c r="D25" s="227" t="s">
        <v>108</v>
      </c>
      <c r="E25" s="26" t="s">
        <v>109</v>
      </c>
      <c r="F25" s="39">
        <f>COUNTIFS($F$5:$F$24,"Completed")</f>
        <v>0</v>
      </c>
      <c r="G25" s="39">
        <f>COUNTIFS($G$5:$G$24,"YES")</f>
        <v>0</v>
      </c>
      <c r="H25" s="102"/>
      <c r="J25" s="8"/>
    </row>
    <row r="26" spans="1:11" ht="12.75" x14ac:dyDescent="0.2">
      <c r="D26" s="228"/>
      <c r="E26" s="26" t="s">
        <v>110</v>
      </c>
      <c r="F26" s="39">
        <f>COUNTIFS($F$5:$F$24,"Not started")</f>
        <v>20</v>
      </c>
      <c r="G26" s="39">
        <f>COUNTIFS($G$5:$G$24,"TBC")</f>
        <v>20</v>
      </c>
      <c r="H26" s="102"/>
      <c r="J26" s="8"/>
    </row>
    <row r="27" spans="1:11" ht="12.75" x14ac:dyDescent="0.2">
      <c r="D27" s="228"/>
      <c r="E27" s="26" t="s">
        <v>99</v>
      </c>
      <c r="F27" s="39">
        <f>COUNTIFS($F$5:$F$24,"NOT APPLICABLE")</f>
        <v>0</v>
      </c>
      <c r="G27" s="39">
        <f>COUNTIFS($G$5:$G$24,"NOT APPLICABLE")</f>
        <v>0</v>
      </c>
      <c r="H27" s="102"/>
      <c r="J27" s="8"/>
    </row>
    <row r="28" spans="1:11" ht="12.75" x14ac:dyDescent="0.2">
      <c r="D28" s="228"/>
      <c r="E28" s="26" t="s">
        <v>111</v>
      </c>
      <c r="F28" s="39">
        <f>COUNTIFS($F$5:$F$24,"IN PROGRESS")</f>
        <v>0</v>
      </c>
      <c r="G28" s="39">
        <f>COUNTIFS($G$5:$G$24,"IN PROGRESS")</f>
        <v>0</v>
      </c>
      <c r="H28" s="102"/>
      <c r="J28" s="8"/>
    </row>
    <row r="29" spans="1:11" ht="12.75" x14ac:dyDescent="0.2">
      <c r="D29" s="228"/>
      <c r="E29" s="26" t="s">
        <v>112</v>
      </c>
      <c r="F29" s="97">
        <f>SUM(F25:F28)</f>
        <v>20</v>
      </c>
      <c r="G29" s="97">
        <f>SUM(G25:G28)</f>
        <v>20</v>
      </c>
      <c r="H29" s="103"/>
      <c r="J29" s="8"/>
    </row>
    <row r="30" spans="1:11" ht="12.75" x14ac:dyDescent="0.2">
      <c r="J30" s="8"/>
    </row>
    <row r="31" spans="1:11" ht="12.75" x14ac:dyDescent="0.2">
      <c r="J31" s="8"/>
    </row>
    <row r="32" spans="1:11" ht="12.75" x14ac:dyDescent="0.2">
      <c r="J32" s="8"/>
    </row>
    <row r="33" spans="10:10" ht="12.75" x14ac:dyDescent="0.2">
      <c r="J33" s="8"/>
    </row>
    <row r="34" spans="10:10" ht="12.75" x14ac:dyDescent="0.2">
      <c r="J34" s="8"/>
    </row>
  </sheetData>
  <mergeCells count="3">
    <mergeCell ref="D25:D29"/>
    <mergeCell ref="C1:D1"/>
    <mergeCell ref="B2:K2"/>
  </mergeCells>
  <hyperlinks>
    <hyperlink ref="J4" r:id="rId1" xr:uid="{46BC51B2-A167-4649-9C97-8B297E254DF4}"/>
    <hyperlink ref="A22" r:id="rId2" xr:uid="{824B0A78-1806-414F-9950-069EF4E9742C}"/>
    <hyperlink ref="A12" r:id="rId3" xr:uid="{33C26FCA-4A5C-4C6F-9A11-2C7DCE5D0474}"/>
    <hyperlink ref="A13" r:id="rId4" xr:uid="{7E97A2B0-01E7-4974-8E8A-9A24155881D9}"/>
    <hyperlink ref="A14" r:id="rId5" xr:uid="{749E78C0-1D92-4B28-8D24-0407BF6A39FE}"/>
    <hyperlink ref="A9" r:id="rId6" xr:uid="{93EFDDEB-005F-4B41-B163-0415AD60CC69}"/>
    <hyperlink ref="A5" r:id="rId7" xr:uid="{07F6671A-7A0A-482C-884F-F9A47DF32ACD}"/>
    <hyperlink ref="A6" r:id="rId8" xr:uid="{765023DE-05C0-462D-B736-5E606693A52E}"/>
    <hyperlink ref="A7" r:id="rId9" xr:uid="{7C9DC49F-7D25-432E-AC8D-4AF08CF35AA2}"/>
    <hyperlink ref="A8" r:id="rId10" xr:uid="{3934AB39-1935-418D-972C-CE5370CDE1F6}"/>
    <hyperlink ref="A10" r:id="rId11" xr:uid="{ABA615B8-34E1-41C6-84D0-CDFB9A37D33C}"/>
    <hyperlink ref="A11" r:id="rId12" xr:uid="{91292024-AF23-4D19-A153-B125D0A7D172}"/>
    <hyperlink ref="A18" r:id="rId13" display="BSR-ENV-1.1 " xr:uid="{8C7F2E29-8FAE-4861-A504-9E27AFC735B2}"/>
    <hyperlink ref="A19" r:id="rId14" display="BSR-ENV-1.2 " xr:uid="{621C74F8-1E2B-4CD9-80D3-32B6AD213454}"/>
    <hyperlink ref="A20" r:id="rId15" display="BSR-ENV-1.3 " xr:uid="{66C17702-C3AD-4894-BE95-E18E8C043E1C}"/>
    <hyperlink ref="A21" r:id="rId16" display="BSR-ENV-1.4 " xr:uid="{58F9D9E0-FA16-4F4B-9B37-A6E10A248EC4}"/>
    <hyperlink ref="A16" r:id="rId17" xr:uid="{621A62F6-0354-44BA-A9B7-55A00D2A5D48}"/>
    <hyperlink ref="A15" r:id="rId18" xr:uid="{00915666-4BF8-4897-9273-6C696D8B4FBD}"/>
    <hyperlink ref="A23" r:id="rId19" xr:uid="{613C1E4E-951F-48CC-B9E9-8283DC3DA6D4}"/>
    <hyperlink ref="A24" r:id="rId20" xr:uid="{5A3A3282-C433-4BEC-8764-54FEE3D6AB1A}"/>
    <hyperlink ref="A17" r:id="rId21" xr:uid="{F522642B-7ED0-4E43-A897-D22D493E3746}"/>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7">
        <x14:dataValidation type="list" allowBlank="1" showInputMessage="1" showErrorMessage="1" xr:uid="{A45431FE-2212-49E8-83DD-35C2E7A1F671}">
          <x14:formula1>
            <xm:f>Variables!$A$2:$A$4</xm:f>
          </x14:formula1>
          <xm:sqref>C5:C21</xm:sqref>
        </x14:dataValidation>
        <x14:dataValidation type="list" allowBlank="1" showInputMessage="1" showErrorMessage="1" xr:uid="{0C5A96FA-36BB-4E10-A777-A41DDECE2B8D}">
          <x14:formula1>
            <xm:f>Variables!$I$2:$I$5</xm:f>
          </x14:formula1>
          <xm:sqref>F5:F24</xm:sqref>
        </x14:dataValidation>
        <x14:dataValidation type="list" allowBlank="1" showInputMessage="1" showErrorMessage="1" xr:uid="{FF8DD984-88B4-410C-9236-D09234877B2A}">
          <x14:formula1>
            <xm:f>Variables!$J$2:$J$5</xm:f>
          </x14:formula1>
          <xm:sqref>G5:G21</xm:sqref>
        </x14:dataValidation>
        <x14:dataValidation type="list" allowBlank="1" showInputMessage="1" showErrorMessage="1" xr:uid="{786794CC-02A2-4D92-9617-FAEFDF111F6D}">
          <x14:formula1>
            <xm:f>Variables!$L$2:$L$4</xm:f>
          </x14:formula1>
          <xm:sqref>H5:H21</xm:sqref>
        </x14:dataValidation>
        <x14:dataValidation type="list" showInputMessage="1" showErrorMessage="1" xr:uid="{AE2B52A9-EE97-471A-B3D7-793F28A5348E}">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6AB1B68E-AC38-4B21-9D5C-4F605BD31856}">
          <x14:formula1>
            <xm:f>Variables!#REF!</xm:f>
          </x14:formula1>
          <xm:sqref>C22:C23 G23:H23</xm:sqref>
        </x14:dataValidation>
        <x14:dataValidation type="list" showInputMessage="1" showErrorMessage="1" xr:uid="{DD5CB172-B6CA-4048-B1FC-B0966E3CB67E}">
          <x14:formula1>
            <xm:f>Variables!#REF!</xm:f>
          </x14:formula1>
          <xm:sqref>G24:H24 G22:H22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E2CD2-75D5-4CBD-AD23-8C7C8A436B85}">
  <sheetPr codeName="Sheet18">
    <tabColor rgb="FFFFB45A"/>
  </sheetPr>
  <dimension ref="A1:K34"/>
  <sheetViews>
    <sheetView showGridLines="0" zoomScaleNormal="100" workbookViewId="0">
      <selection activeCell="E6" sqref="E6"/>
    </sheetView>
  </sheetViews>
  <sheetFormatPr defaultColWidth="9.140625" defaultRowHeight="42" customHeight="1" x14ac:dyDescent="0.25"/>
  <cols>
    <col min="1" max="1" width="10.85546875" style="86" customWidth="1"/>
    <col min="2" max="2" width="10.85546875" style="10" customWidth="1"/>
    <col min="3" max="3" width="12.42578125" style="11" customWidth="1"/>
    <col min="4" max="4" width="31.85546875" style="10" customWidth="1"/>
    <col min="5" max="5" width="18.5703125" style="20" customWidth="1"/>
    <col min="6" max="6" width="14.140625" style="10" bestFit="1" customWidth="1"/>
    <col min="7" max="7" width="15.140625" style="10" bestFit="1" customWidth="1"/>
    <col min="8" max="8" width="19.85546875" style="9" bestFit="1" customWidth="1"/>
    <col min="9" max="9" width="34.5703125" style="101" bestFit="1" customWidth="1"/>
    <col min="10" max="10" width="25.42578125" style="93" bestFit="1"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x14ac:dyDescent="0.2">
      <c r="E1" s="173"/>
      <c r="F1" s="20"/>
      <c r="J1" s="8"/>
    </row>
    <row r="2" spans="1:11" s="8" customFormat="1" ht="18" x14ac:dyDescent="0.25">
      <c r="A2" s="87"/>
      <c r="B2" s="225" t="s">
        <v>65</v>
      </c>
      <c r="C2" s="225"/>
      <c r="D2" s="225"/>
      <c r="E2" s="225"/>
      <c r="F2" s="225"/>
      <c r="G2" s="225"/>
      <c r="H2" s="225"/>
      <c r="I2" s="225"/>
      <c r="J2" s="225"/>
      <c r="K2" s="225"/>
    </row>
    <row r="3" spans="1:11" s="8" customFormat="1" ht="12.75" x14ac:dyDescent="0.2">
      <c r="A3" s="87"/>
      <c r="I3" s="173"/>
    </row>
    <row r="4" spans="1:11" s="8" customFormat="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s="8" customFormat="1" ht="53.25" customHeight="1" thickBot="1" x14ac:dyDescent="0.25">
      <c r="A5" s="162" t="s">
        <v>77</v>
      </c>
      <c r="B5" s="24" t="s">
        <v>78</v>
      </c>
      <c r="C5" s="25" t="s">
        <v>79</v>
      </c>
      <c r="D5" s="131" t="str">
        <f>VLOOKUP(A5,'Control Sheet'!_xlnm._FilterDatabase, 2,FALSE)</f>
        <v>Enable disk encryption using NG approved tool and apply recommended settings</v>
      </c>
      <c r="E5" s="51" t="s">
        <v>80</v>
      </c>
      <c r="F5" s="25" t="s">
        <v>81</v>
      </c>
      <c r="G5" s="25" t="s">
        <v>82</v>
      </c>
      <c r="H5" s="25" t="s">
        <v>83</v>
      </c>
      <c r="I5" s="79" t="s">
        <v>84</v>
      </c>
      <c r="J5" s="79"/>
      <c r="K5" s="80"/>
    </row>
    <row r="6" spans="1:11" s="8" customFormat="1" ht="128.1" customHeight="1" thickBot="1" x14ac:dyDescent="0.25">
      <c r="A6" s="162" t="s">
        <v>85</v>
      </c>
      <c r="B6" s="24" t="s">
        <v>86</v>
      </c>
      <c r="C6" s="25" t="s">
        <v>87</v>
      </c>
      <c r="D6" s="131" t="str">
        <f>VLOOKUP(A6,'Control Sheet'!_xlnm._FilterDatabase, 2,FALSE)</f>
        <v>Ensure all systems deploy approved antivirus and malware defense solution</v>
      </c>
      <c r="E6" s="51" t="s">
        <v>88</v>
      </c>
      <c r="F6" s="25" t="s">
        <v>81</v>
      </c>
      <c r="G6" s="25" t="s">
        <v>82</v>
      </c>
      <c r="H6" s="25" t="s">
        <v>83</v>
      </c>
      <c r="I6" s="79" t="s">
        <v>84</v>
      </c>
      <c r="J6" s="79"/>
      <c r="K6" s="80"/>
    </row>
    <row r="7" spans="1:11" s="8" customFormat="1" ht="202.5" customHeight="1" thickBot="1" x14ac:dyDescent="0.25">
      <c r="A7" s="162" t="s">
        <v>89</v>
      </c>
      <c r="B7" s="24" t="s">
        <v>90</v>
      </c>
      <c r="C7" s="25" t="s">
        <v>87</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91</v>
      </c>
      <c r="F7" s="25" t="s">
        <v>81</v>
      </c>
      <c r="G7" s="25" t="s">
        <v>82</v>
      </c>
      <c r="H7" s="25" t="s">
        <v>83</v>
      </c>
      <c r="I7" s="79" t="s">
        <v>84</v>
      </c>
      <c r="J7" s="79"/>
      <c r="K7" s="80"/>
    </row>
    <row r="8" spans="1:11" s="8" customFormat="1" ht="119.45" customHeight="1" thickBot="1" x14ac:dyDescent="0.25">
      <c r="A8" s="162" t="s">
        <v>92</v>
      </c>
      <c r="B8" s="24" t="s">
        <v>93</v>
      </c>
      <c r="C8" s="25" t="s">
        <v>79</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94</v>
      </c>
      <c r="F8" s="25" t="s">
        <v>81</v>
      </c>
      <c r="G8" s="25" t="s">
        <v>82</v>
      </c>
      <c r="H8" s="25" t="s">
        <v>83</v>
      </c>
      <c r="I8" s="79" t="s">
        <v>95</v>
      </c>
      <c r="J8" s="79"/>
      <c r="K8" s="80"/>
    </row>
    <row r="9" spans="1:11" s="8" customFormat="1" ht="141.94999999999999" customHeight="1" thickBot="1" x14ac:dyDescent="0.25">
      <c r="A9" s="162" t="s">
        <v>96</v>
      </c>
      <c r="B9" s="26" t="s">
        <v>97</v>
      </c>
      <c r="C9" s="25" t="s">
        <v>79</v>
      </c>
      <c r="D9" s="131" t="str">
        <f>VLOOKUP(A9,'Control Sheet'!_xlnm._FilterDatabase, 2,FALSE)</f>
        <v>Follow all regulatory data controls as applicable (NIST 800-171, PCI DSS, GDPR, etc.).</v>
      </c>
      <c r="E9" s="75" t="s">
        <v>170</v>
      </c>
      <c r="F9" s="25" t="s">
        <v>81</v>
      </c>
      <c r="G9" s="25" t="s">
        <v>82</v>
      </c>
      <c r="H9" s="25" t="s">
        <v>83</v>
      </c>
      <c r="I9" s="79" t="s">
        <v>171</v>
      </c>
      <c r="J9" s="79"/>
      <c r="K9" s="80"/>
    </row>
    <row r="10" spans="1:11" s="8" customFormat="1" ht="94.5" customHeight="1" thickBot="1" x14ac:dyDescent="0.25">
      <c r="A10" s="167" t="s">
        <v>100</v>
      </c>
      <c r="B10" s="26" t="s">
        <v>101</v>
      </c>
      <c r="C10" s="25" t="s">
        <v>79</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78" t="s">
        <v>102</v>
      </c>
      <c r="F10" s="25" t="s">
        <v>81</v>
      </c>
      <c r="G10" s="128" t="s">
        <v>82</v>
      </c>
      <c r="H10" s="25" t="s">
        <v>83</v>
      </c>
      <c r="I10" s="79" t="s">
        <v>103</v>
      </c>
      <c r="J10" s="79"/>
      <c r="K10" s="80"/>
    </row>
    <row r="11" spans="1:11" s="8" customFormat="1" ht="183" customHeight="1" thickBot="1" x14ac:dyDescent="0.25">
      <c r="A11" s="162" t="s">
        <v>104</v>
      </c>
      <c r="B11" s="26" t="s">
        <v>105</v>
      </c>
      <c r="C11" s="25" t="s">
        <v>79</v>
      </c>
      <c r="D11" s="131" t="str">
        <f>VLOOKUP(A11,'Control Sheet'!_xlnm._FilterDatabase, 2,FALSE)</f>
        <v>1) Deploy appropriate security service for intrusion detection.
2) Review alerts as they are received.
3) Integrate log with Cyber Security Operation Centre (CSOC) log service.</v>
      </c>
      <c r="E11" s="75" t="s">
        <v>106</v>
      </c>
      <c r="F11" s="25" t="s">
        <v>81</v>
      </c>
      <c r="G11" s="25" t="s">
        <v>82</v>
      </c>
      <c r="H11" s="25" t="s">
        <v>83</v>
      </c>
      <c r="I11" s="79" t="s">
        <v>84</v>
      </c>
      <c r="J11" s="79"/>
      <c r="K11" s="80"/>
    </row>
    <row r="12" spans="1:11" s="8" customFormat="1" ht="38.25" x14ac:dyDescent="0.2">
      <c r="A12" s="97"/>
      <c r="B12" s="26" t="s">
        <v>107</v>
      </c>
      <c r="C12" s="25"/>
      <c r="D12" s="28"/>
      <c r="E12" s="28"/>
      <c r="F12" s="25"/>
      <c r="G12" s="25"/>
      <c r="H12" s="25"/>
      <c r="I12" s="79"/>
      <c r="J12" s="79"/>
      <c r="K12" s="80"/>
    </row>
    <row r="13" spans="1:11" s="8" customFormat="1" ht="38.25" x14ac:dyDescent="0.2">
      <c r="A13" s="97"/>
      <c r="B13" s="26" t="s">
        <v>107</v>
      </c>
      <c r="C13" s="25"/>
      <c r="D13" s="28"/>
      <c r="E13" s="28"/>
      <c r="F13" s="25"/>
      <c r="G13" s="25"/>
      <c r="H13" s="25"/>
      <c r="I13" s="79"/>
      <c r="J13" s="79"/>
      <c r="K13" s="80"/>
    </row>
    <row r="14" spans="1:11" s="8" customFormat="1" ht="38.25" x14ac:dyDescent="0.2">
      <c r="A14" s="97"/>
      <c r="B14" s="26" t="s">
        <v>107</v>
      </c>
      <c r="C14" s="25"/>
      <c r="D14" s="29"/>
      <c r="E14" s="28"/>
      <c r="F14" s="25"/>
      <c r="G14" s="25"/>
      <c r="H14" s="25"/>
      <c r="I14" s="79"/>
      <c r="J14" s="79"/>
      <c r="K14" s="80"/>
    </row>
    <row r="15" spans="1:11" s="8" customFormat="1" ht="38.25" x14ac:dyDescent="0.2">
      <c r="A15" s="97"/>
      <c r="B15" s="26" t="s">
        <v>107</v>
      </c>
      <c r="C15" s="25"/>
      <c r="D15" s="29"/>
      <c r="E15" s="28"/>
      <c r="F15" s="25"/>
      <c r="G15" s="25"/>
      <c r="H15" s="25"/>
      <c r="I15" s="79"/>
      <c r="J15" s="79"/>
      <c r="K15" s="80"/>
    </row>
    <row r="16" spans="1:11" s="8" customFormat="1" ht="38.25" x14ac:dyDescent="0.2">
      <c r="A16" s="97"/>
      <c r="B16" s="26" t="s">
        <v>107</v>
      </c>
      <c r="C16" s="25"/>
      <c r="D16" s="29"/>
      <c r="E16" s="28"/>
      <c r="F16" s="25"/>
      <c r="G16" s="25"/>
      <c r="H16" s="25"/>
      <c r="I16" s="79"/>
      <c r="J16" s="79"/>
      <c r="K16" s="80"/>
    </row>
    <row r="17" spans="4:10" ht="12.95" customHeight="1" x14ac:dyDescent="0.2">
      <c r="D17" s="222" t="s">
        <v>108</v>
      </c>
      <c r="E17" s="92" t="s">
        <v>109</v>
      </c>
      <c r="F17" s="40">
        <f>COUNTIFS($F$5:$F$16,"completed")</f>
        <v>0</v>
      </c>
      <c r="G17" s="41">
        <f>COUNTIFS($G$5:$G$16,"yes")</f>
        <v>0</v>
      </c>
      <c r="H17" s="102"/>
      <c r="J17" s="10"/>
    </row>
    <row r="18" spans="4:10" ht="12.95" customHeight="1" x14ac:dyDescent="0.2">
      <c r="D18" s="223"/>
      <c r="E18" s="92" t="s">
        <v>110</v>
      </c>
      <c r="F18" s="40">
        <f>COUNTIFS($F$5:$F$16,"not started")</f>
        <v>7</v>
      </c>
      <c r="G18" s="41">
        <f>COUNTIFS($G$5:$G$16,"TBC")</f>
        <v>7</v>
      </c>
      <c r="H18" s="102"/>
      <c r="J18" s="10"/>
    </row>
    <row r="19" spans="4:10" ht="12.95" customHeight="1" x14ac:dyDescent="0.2">
      <c r="D19" s="223"/>
      <c r="E19" s="92" t="s">
        <v>99</v>
      </c>
      <c r="F19" s="40">
        <f>COUNTIFS($F$5:$F$16,"not applicable")</f>
        <v>0</v>
      </c>
      <c r="G19" s="41">
        <f>COUNTIFS($G$5:$G$16,"not applicable")</f>
        <v>0</v>
      </c>
      <c r="H19" s="102"/>
      <c r="J19" s="10"/>
    </row>
    <row r="20" spans="4:10" ht="12.95" customHeight="1" x14ac:dyDescent="0.2">
      <c r="D20" s="223"/>
      <c r="E20" s="92" t="s">
        <v>111</v>
      </c>
      <c r="F20" s="40">
        <f>COUNTIFS($F$5:$F$16,"in progress")</f>
        <v>0</v>
      </c>
      <c r="G20" s="41">
        <f>COUNTIFS($G$5:$G$16,"in progress")</f>
        <v>0</v>
      </c>
      <c r="H20" s="102"/>
      <c r="J20" s="10"/>
    </row>
    <row r="21" spans="4:10" ht="12.95" customHeight="1" x14ac:dyDescent="0.2">
      <c r="D21" s="224"/>
      <c r="E21" s="92" t="s">
        <v>112</v>
      </c>
      <c r="F21" s="107">
        <f>SUM(F17:F20)</f>
        <v>7</v>
      </c>
      <c r="G21" s="98">
        <f>SUM(G17:G20)</f>
        <v>7</v>
      </c>
      <c r="H21" s="102"/>
      <c r="J21" s="10"/>
    </row>
    <row r="22" spans="4:10" ht="42" customHeight="1" x14ac:dyDescent="0.2">
      <c r="E22" s="10"/>
      <c r="F22" s="20"/>
      <c r="H22" s="102"/>
      <c r="J22" s="10"/>
    </row>
    <row r="23" spans="4:10" ht="42" customHeight="1" x14ac:dyDescent="0.2">
      <c r="E23" s="10"/>
      <c r="F23" s="20"/>
      <c r="H23" s="102"/>
      <c r="J23" s="10"/>
    </row>
    <row r="24" spans="4:10" ht="42" customHeight="1" x14ac:dyDescent="0.2">
      <c r="H24" s="102"/>
      <c r="J24" s="10"/>
    </row>
    <row r="25" spans="4:10" ht="42" customHeight="1" x14ac:dyDescent="0.2">
      <c r="H25" s="103"/>
      <c r="J25" s="10"/>
    </row>
    <row r="26" spans="4:10" ht="42" customHeight="1" x14ac:dyDescent="0.2">
      <c r="J26" s="10"/>
    </row>
    <row r="27" spans="4:10" ht="42" customHeight="1" x14ac:dyDescent="0.2">
      <c r="J27" s="10"/>
    </row>
    <row r="28" spans="4:10" ht="42" customHeight="1" x14ac:dyDescent="0.2">
      <c r="J28" s="10"/>
    </row>
    <row r="29" spans="4:10" ht="42" customHeight="1" x14ac:dyDescent="0.2">
      <c r="J29" s="10"/>
    </row>
    <row r="30" spans="4:10" ht="42" customHeight="1" x14ac:dyDescent="0.2">
      <c r="J30" s="10"/>
    </row>
    <row r="31" spans="4:10" ht="42" customHeight="1" x14ac:dyDescent="0.2">
      <c r="J31" s="10"/>
    </row>
    <row r="32" spans="4:10" ht="42" customHeight="1" x14ac:dyDescent="0.2">
      <c r="J32" s="10"/>
    </row>
    <row r="33" spans="10:10" ht="42" customHeight="1" x14ac:dyDescent="0.2">
      <c r="J33" s="10"/>
    </row>
    <row r="34" spans="10:10" ht="42" customHeight="1" x14ac:dyDescent="0.2">
      <c r="J34" s="10"/>
    </row>
  </sheetData>
  <mergeCells count="2">
    <mergeCell ref="D17:D21"/>
    <mergeCell ref="B2:K2"/>
  </mergeCells>
  <hyperlinks>
    <hyperlink ref="J4" r:id="rId1" xr:uid="{D28FA3AF-4538-4BCF-8DC2-3CEF476E2051}"/>
    <hyperlink ref="A5" r:id="rId2" xr:uid="{50E6367D-3A4A-4A12-8139-C19777661842}"/>
    <hyperlink ref="A6" r:id="rId3" xr:uid="{4A763688-BAA8-4D51-82EB-5DB566C40780}"/>
    <hyperlink ref="A7" r:id="rId4" xr:uid="{202030BF-E2FD-4333-A044-257792C3CA84}"/>
    <hyperlink ref="A9" r:id="rId5" xr:uid="{2AFC5DE1-F4CA-4162-9EAF-41974D68D727}"/>
    <hyperlink ref="A11" r:id="rId6" xr:uid="{53977F23-3457-4360-AFCE-DF1FE1F88CDA}"/>
    <hyperlink ref="A8" r:id="rId7" xr:uid="{45A97DF1-FBE1-4735-99AB-8775614C698C}"/>
    <hyperlink ref="A10" r:id="rId8" xr:uid="{E403BAD0-2DEF-415C-8C90-290238AD71A6}"/>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4">
        <x14:dataValidation type="list" allowBlank="1" showInputMessage="1" showErrorMessage="1" xr:uid="{284F8AB1-3F93-4B3C-B93D-8D9CD22D215E}">
          <x14:formula1>
            <xm:f>Variables!$I$2:$I$5</xm:f>
          </x14:formula1>
          <xm:sqref>F5:F16</xm:sqref>
        </x14:dataValidation>
        <x14:dataValidation type="list" allowBlank="1" showInputMessage="1" showErrorMessage="1" xr:uid="{D8B0E0B1-21F2-4172-BE05-F5AC129F0382}">
          <x14:formula1>
            <xm:f>Variables!$A$2:$A$4</xm:f>
          </x14:formula1>
          <xm:sqref>C5:C16</xm:sqref>
        </x14:dataValidation>
        <x14:dataValidation type="list" allowBlank="1" showInputMessage="1" showErrorMessage="1" xr:uid="{D7DE07C1-4765-4714-AC12-0ED71D7C472E}">
          <x14:formula1>
            <xm:f>Variables!$J$2:$J$5</xm:f>
          </x14:formula1>
          <xm:sqref>G5:G16</xm:sqref>
        </x14:dataValidation>
        <x14:dataValidation type="list" allowBlank="1" showInputMessage="1" showErrorMessage="1" xr:uid="{3E3E3C27-0754-4C0A-A67A-6A080C13FFB1}">
          <x14:formula1>
            <xm:f>Variables!$L$2:$L$4</xm:f>
          </x14:formula1>
          <xm:sqref>H5:H16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L26"/>
  <sheetViews>
    <sheetView workbookViewId="0">
      <selection activeCell="A5" sqref="A5"/>
    </sheetView>
  </sheetViews>
  <sheetFormatPr defaultRowHeight="15" x14ac:dyDescent="0.25"/>
  <cols>
    <col min="1" max="2" width="15" bestFit="1" customWidth="1"/>
    <col min="3" max="3" width="13.42578125" bestFit="1" customWidth="1"/>
    <col min="8" max="8" width="18.140625" customWidth="1"/>
    <col min="9" max="9" width="15.140625" customWidth="1"/>
    <col min="10" max="10" width="15.140625" style="93" customWidth="1"/>
    <col min="12" max="12" width="24.5703125" bestFit="1" customWidth="1"/>
  </cols>
  <sheetData>
    <row r="2" spans="1:12" x14ac:dyDescent="0.25">
      <c r="A2" s="93" t="s">
        <v>87</v>
      </c>
      <c r="B2" s="93" t="s">
        <v>50</v>
      </c>
      <c r="C2" s="93" t="s">
        <v>288</v>
      </c>
      <c r="D2" s="93"/>
      <c r="E2" s="93" t="s">
        <v>289</v>
      </c>
      <c r="F2" s="93" t="s">
        <v>290</v>
      </c>
      <c r="G2" s="93"/>
      <c r="H2" s="100" t="s">
        <v>291</v>
      </c>
      <c r="I2" s="71" t="s">
        <v>292</v>
      </c>
      <c r="J2" s="71" t="s">
        <v>87</v>
      </c>
      <c r="K2" s="93" t="s">
        <v>293</v>
      </c>
      <c r="L2" s="93" t="s">
        <v>83</v>
      </c>
    </row>
    <row r="3" spans="1:12" x14ac:dyDescent="0.25">
      <c r="A3" s="93" t="s">
        <v>79</v>
      </c>
      <c r="B3" s="93" t="s">
        <v>294</v>
      </c>
      <c r="C3" s="93" t="s">
        <v>295</v>
      </c>
      <c r="D3" s="93"/>
      <c r="E3" s="93" t="s">
        <v>296</v>
      </c>
      <c r="F3" s="93" t="s">
        <v>297</v>
      </c>
      <c r="G3" s="93"/>
      <c r="H3" s="100" t="s">
        <v>298</v>
      </c>
      <c r="I3" s="71" t="s">
        <v>81</v>
      </c>
      <c r="J3" s="71" t="s">
        <v>82</v>
      </c>
      <c r="K3" s="93" t="s">
        <v>299</v>
      </c>
      <c r="L3" s="93" t="s">
        <v>300</v>
      </c>
    </row>
    <row r="4" spans="1:12" x14ac:dyDescent="0.25">
      <c r="A4" s="93" t="s">
        <v>99</v>
      </c>
      <c r="B4" s="93"/>
      <c r="C4" s="93" t="s">
        <v>301</v>
      </c>
      <c r="D4" s="93"/>
      <c r="E4" s="93"/>
      <c r="F4" s="93"/>
      <c r="G4" s="93"/>
      <c r="H4" s="100" t="s">
        <v>302</v>
      </c>
      <c r="I4" s="70" t="s">
        <v>99</v>
      </c>
      <c r="J4" s="70" t="s">
        <v>99</v>
      </c>
      <c r="K4" s="93" t="s">
        <v>303</v>
      </c>
      <c r="L4" s="70" t="s">
        <v>99</v>
      </c>
    </row>
    <row r="5" spans="1:12" x14ac:dyDescent="0.25">
      <c r="A5" s="93"/>
      <c r="B5" s="93"/>
      <c r="C5" s="93" t="s">
        <v>288</v>
      </c>
      <c r="D5" s="93"/>
      <c r="E5" s="93"/>
      <c r="F5" s="93"/>
      <c r="G5" s="93"/>
      <c r="H5" s="100" t="s">
        <v>304</v>
      </c>
      <c r="I5" s="71" t="s">
        <v>111</v>
      </c>
      <c r="J5" s="71" t="s">
        <v>111</v>
      </c>
      <c r="K5" s="93"/>
      <c r="L5" s="93"/>
    </row>
    <row r="6" spans="1:12" x14ac:dyDescent="0.25">
      <c r="A6" s="93"/>
      <c r="B6" s="93"/>
      <c r="C6" s="93"/>
      <c r="D6" s="93"/>
      <c r="E6" s="93"/>
      <c r="F6" s="93"/>
      <c r="G6" s="93"/>
      <c r="H6" s="100" t="s">
        <v>305</v>
      </c>
      <c r="I6" s="93"/>
      <c r="J6" s="71"/>
      <c r="K6" s="93"/>
      <c r="L6" s="93"/>
    </row>
    <row r="7" spans="1:12" x14ac:dyDescent="0.25">
      <c r="A7" s="93"/>
      <c r="B7" s="93"/>
      <c r="C7" s="93"/>
      <c r="D7" s="93"/>
      <c r="E7" s="93"/>
      <c r="F7" s="93"/>
      <c r="G7" s="93"/>
      <c r="H7" s="100" t="s">
        <v>306</v>
      </c>
      <c r="I7" s="93"/>
      <c r="K7" s="93"/>
      <c r="L7" s="93"/>
    </row>
    <row r="8" spans="1:12" x14ac:dyDescent="0.25">
      <c r="A8" s="93"/>
      <c r="B8" s="93"/>
      <c r="C8" s="93"/>
      <c r="D8" s="93"/>
      <c r="E8" s="93"/>
      <c r="F8" s="93"/>
      <c r="G8" s="93"/>
      <c r="H8" s="100" t="s">
        <v>307</v>
      </c>
      <c r="I8" s="93"/>
      <c r="K8" s="93"/>
      <c r="L8" s="93"/>
    </row>
    <row r="9" spans="1:12" x14ac:dyDescent="0.25">
      <c r="A9" s="93"/>
      <c r="B9" s="93"/>
      <c r="C9" s="93"/>
      <c r="D9" s="93"/>
      <c r="E9" s="93"/>
      <c r="F9" s="93"/>
      <c r="G9" s="93"/>
      <c r="H9" s="100" t="s">
        <v>308</v>
      </c>
      <c r="I9" s="93"/>
      <c r="K9" s="93"/>
      <c r="L9" s="93"/>
    </row>
    <row r="10" spans="1:12" x14ac:dyDescent="0.25">
      <c r="A10" s="93"/>
      <c r="B10" s="93"/>
      <c r="C10" s="93"/>
      <c r="D10" s="93"/>
      <c r="E10" s="93"/>
      <c r="F10" s="93"/>
      <c r="G10" s="93"/>
      <c r="H10" s="100" t="s">
        <v>309</v>
      </c>
      <c r="I10" s="93"/>
      <c r="K10" s="93"/>
      <c r="L10" s="93"/>
    </row>
    <row r="11" spans="1:12" x14ac:dyDescent="0.25">
      <c r="A11" s="93"/>
      <c r="B11" s="93"/>
      <c r="C11" s="93"/>
      <c r="D11" s="93"/>
      <c r="E11" s="93"/>
      <c r="F11" s="93"/>
      <c r="G11" s="93"/>
      <c r="H11" s="100" t="s">
        <v>310</v>
      </c>
      <c r="I11" s="93"/>
      <c r="K11" s="93"/>
      <c r="L11" s="93"/>
    </row>
    <row r="12" spans="1:12" x14ac:dyDescent="0.25">
      <c r="A12" s="93"/>
      <c r="B12" s="93"/>
      <c r="C12" s="93"/>
      <c r="D12" s="93"/>
      <c r="E12" s="93"/>
      <c r="F12" s="93"/>
      <c r="G12" s="93"/>
      <c r="H12" s="100" t="s">
        <v>311</v>
      </c>
      <c r="I12" s="93"/>
      <c r="K12" s="93"/>
      <c r="L12" s="93"/>
    </row>
    <row r="13" spans="1:12" x14ac:dyDescent="0.25">
      <c r="A13" s="93"/>
      <c r="B13" s="93"/>
      <c r="C13" s="93"/>
      <c r="D13" s="93"/>
      <c r="E13" s="93"/>
      <c r="F13" s="93"/>
      <c r="G13" s="93"/>
      <c r="H13" s="100" t="s">
        <v>312</v>
      </c>
      <c r="I13" s="93"/>
      <c r="K13" s="93"/>
      <c r="L13" s="93"/>
    </row>
    <row r="14" spans="1:12" x14ac:dyDescent="0.25">
      <c r="A14" s="93"/>
      <c r="B14" s="93"/>
      <c r="C14" s="93"/>
      <c r="D14" s="93"/>
      <c r="E14" s="93"/>
      <c r="F14" s="93"/>
      <c r="G14" s="93"/>
      <c r="H14" s="100" t="s">
        <v>313</v>
      </c>
      <c r="I14" s="93"/>
      <c r="K14" s="93"/>
      <c r="L14" s="93"/>
    </row>
    <row r="15" spans="1:12" x14ac:dyDescent="0.25">
      <c r="A15" s="93"/>
      <c r="B15" s="93"/>
      <c r="C15" s="93"/>
      <c r="D15" s="93"/>
      <c r="E15" s="93"/>
      <c r="F15" s="93"/>
      <c r="G15" s="93"/>
      <c r="H15" s="100" t="s">
        <v>314</v>
      </c>
      <c r="I15" s="93"/>
      <c r="K15" s="93"/>
      <c r="L15" s="93"/>
    </row>
    <row r="16" spans="1:12" x14ac:dyDescent="0.25">
      <c r="A16" s="93"/>
      <c r="B16" s="93"/>
      <c r="C16" s="93"/>
      <c r="D16" s="93"/>
      <c r="E16" s="93"/>
      <c r="F16" s="93"/>
      <c r="G16" s="93"/>
      <c r="H16" s="100" t="s">
        <v>315</v>
      </c>
      <c r="I16" s="93"/>
      <c r="K16" s="93"/>
      <c r="L16" s="93"/>
    </row>
    <row r="17" spans="8:8" x14ac:dyDescent="0.25">
      <c r="H17" s="100" t="s">
        <v>316</v>
      </c>
    </row>
    <row r="18" spans="8:8" x14ac:dyDescent="0.25">
      <c r="H18" s="100" t="s">
        <v>317</v>
      </c>
    </row>
    <row r="19" spans="8:8" x14ac:dyDescent="0.25">
      <c r="H19" s="100" t="s">
        <v>318</v>
      </c>
    </row>
    <row r="20" spans="8:8" x14ac:dyDescent="0.25">
      <c r="H20" s="100" t="s">
        <v>319</v>
      </c>
    </row>
    <row r="21" spans="8:8" x14ac:dyDescent="0.25">
      <c r="H21" s="100" t="s">
        <v>320</v>
      </c>
    </row>
    <row r="22" spans="8:8" x14ac:dyDescent="0.25">
      <c r="H22" s="100" t="s">
        <v>321</v>
      </c>
    </row>
    <row r="23" spans="8:8" x14ac:dyDescent="0.25">
      <c r="H23" s="100" t="s">
        <v>322</v>
      </c>
    </row>
    <row r="24" spans="8:8" x14ac:dyDescent="0.25">
      <c r="H24" s="100" t="s">
        <v>323</v>
      </c>
    </row>
    <row r="25" spans="8:8" x14ac:dyDescent="0.25">
      <c r="H25" s="100" t="s">
        <v>324</v>
      </c>
    </row>
    <row r="26" spans="8:8" x14ac:dyDescent="0.25">
      <c r="H26" s="100" t="s">
        <v>325</v>
      </c>
    </row>
  </sheetData>
  <sortState xmlns:xlrd2="http://schemas.microsoft.com/office/spreadsheetml/2017/richdata2" ref="H2:H26">
    <sortCondition ref="H2"/>
  </sortSt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95B06-4814-4605-91BD-0AE216689BB2}">
  <sheetPr codeName="Sheet9"/>
  <dimension ref="A1:R64"/>
  <sheetViews>
    <sheetView workbookViewId="0">
      <selection activeCell="B2" sqref="B2"/>
    </sheetView>
  </sheetViews>
  <sheetFormatPr defaultRowHeight="15" x14ac:dyDescent="0.25"/>
  <cols>
    <col min="1" max="1" width="11" customWidth="1"/>
    <col min="2" max="2" width="18.5703125" bestFit="1" customWidth="1"/>
    <col min="3" max="3" width="21.5703125" bestFit="1" customWidth="1"/>
    <col min="4" max="4" width="13.5703125" bestFit="1" customWidth="1"/>
    <col min="5" max="5" width="18.5703125" bestFit="1" customWidth="1"/>
    <col min="6" max="6" width="25" bestFit="1" customWidth="1"/>
    <col min="7" max="7" width="15" style="93" bestFit="1" customWidth="1"/>
    <col min="8" max="8" width="25" bestFit="1" customWidth="1"/>
    <col min="9" max="9" width="30.42578125" customWidth="1"/>
    <col min="10" max="10" width="8.42578125" customWidth="1"/>
    <col min="12" max="12" width="27.85546875" bestFit="1" customWidth="1"/>
    <col min="16" max="16" width="35.5703125" customWidth="1"/>
    <col min="17" max="17" width="36.42578125" bestFit="1" customWidth="1"/>
    <col min="18" max="18" width="42.42578125" customWidth="1"/>
  </cols>
  <sheetData>
    <row r="1" spans="1:18" x14ac:dyDescent="0.25">
      <c r="A1" s="93"/>
      <c r="B1" s="93" t="s">
        <v>326</v>
      </c>
      <c r="C1" s="93" t="s">
        <v>327</v>
      </c>
      <c r="D1" s="93"/>
      <c r="E1" s="93"/>
      <c r="F1" s="93" t="s">
        <v>189</v>
      </c>
      <c r="H1" s="93"/>
      <c r="I1" s="93" t="s">
        <v>328</v>
      </c>
      <c r="J1" s="93" t="s">
        <v>329</v>
      </c>
      <c r="K1" s="93" t="s">
        <v>329</v>
      </c>
      <c r="L1" s="93" t="str">
        <f>_xlfn.CONCAT(I1," ",K1)</f>
        <v>Server MSRs (H)</v>
      </c>
      <c r="M1" s="93"/>
      <c r="N1" s="93"/>
      <c r="O1" s="93"/>
      <c r="P1" s="93" t="s">
        <v>330</v>
      </c>
      <c r="Q1" s="93" t="s">
        <v>331</v>
      </c>
      <c r="R1" s="93" t="s">
        <v>332</v>
      </c>
    </row>
    <row r="2" spans="1:18" x14ac:dyDescent="0.25">
      <c r="A2" s="93"/>
      <c r="B2" s="93" t="s">
        <v>333</v>
      </c>
      <c r="C2" s="93" t="s">
        <v>334</v>
      </c>
      <c r="D2" s="93"/>
      <c r="E2" s="93"/>
      <c r="F2" s="93" t="s">
        <v>84</v>
      </c>
      <c r="H2" s="93"/>
      <c r="I2" s="93" t="s">
        <v>335</v>
      </c>
      <c r="J2" s="93" t="s">
        <v>336</v>
      </c>
      <c r="K2" s="93"/>
      <c r="L2" s="93" t="str">
        <f>_xlfn.CONCAT(I2," ",K1)</f>
        <v>End User Devices MSRs (H)</v>
      </c>
      <c r="M2" s="93"/>
      <c r="N2" s="93"/>
      <c r="O2" s="93"/>
      <c r="P2" s="105" t="s">
        <v>337</v>
      </c>
      <c r="Q2" s="104" t="s">
        <v>338</v>
      </c>
      <c r="R2" s="104" t="s">
        <v>339</v>
      </c>
    </row>
    <row r="3" spans="1:18" x14ac:dyDescent="0.25">
      <c r="A3" s="93"/>
      <c r="B3" s="93" t="s">
        <v>340</v>
      </c>
      <c r="C3" s="93" t="s">
        <v>341</v>
      </c>
      <c r="D3" s="93"/>
      <c r="E3" s="93"/>
      <c r="F3" s="93" t="s">
        <v>120</v>
      </c>
      <c r="H3" s="93"/>
      <c r="I3" s="93" t="s">
        <v>342</v>
      </c>
      <c r="J3" s="93" t="s">
        <v>329</v>
      </c>
      <c r="K3" s="93"/>
      <c r="L3" s="93" t="str">
        <f>_xlfn.CONCAT(I3," ",K1)</f>
        <v>Application MSRs (H)</v>
      </c>
      <c r="M3" s="93"/>
      <c r="N3" s="93"/>
      <c r="O3" s="93"/>
      <c r="P3" s="104" t="s">
        <v>343</v>
      </c>
      <c r="Q3" s="104" t="s">
        <v>344</v>
      </c>
      <c r="R3" s="104" t="s">
        <v>10</v>
      </c>
    </row>
    <row r="4" spans="1:18" x14ac:dyDescent="0.25">
      <c r="A4" s="93"/>
      <c r="B4" s="93" t="s">
        <v>345</v>
      </c>
      <c r="C4" s="93" t="s">
        <v>346</v>
      </c>
      <c r="D4" s="93"/>
      <c r="E4" s="93"/>
      <c r="F4" s="93" t="s">
        <v>103</v>
      </c>
      <c r="H4" s="93"/>
      <c r="I4" s="93" t="s">
        <v>347</v>
      </c>
      <c r="J4" s="93"/>
      <c r="K4" s="93"/>
      <c r="L4" s="93" t="str">
        <f>_xlfn.CONCAT(I4," ",K1)</f>
        <v>SaaS - PaaS MSRs (H)</v>
      </c>
      <c r="M4" s="93"/>
      <c r="N4" s="93"/>
      <c r="O4" s="93"/>
      <c r="P4" s="104" t="s">
        <v>7</v>
      </c>
      <c r="Q4" s="104" t="s">
        <v>8</v>
      </c>
      <c r="R4" s="104" t="s">
        <v>9</v>
      </c>
    </row>
    <row r="5" spans="1:18" x14ac:dyDescent="0.25">
      <c r="A5" s="93"/>
      <c r="B5" s="93" t="s">
        <v>348</v>
      </c>
      <c r="C5" s="93"/>
      <c r="D5" s="93"/>
      <c r="E5" s="93"/>
      <c r="F5" s="93" t="s">
        <v>349</v>
      </c>
      <c r="H5" s="93"/>
      <c r="I5" s="93" t="s">
        <v>350</v>
      </c>
      <c r="J5" s="93"/>
      <c r="K5" s="93"/>
      <c r="L5" s="93" t="str">
        <f>_xlfn.CONCAT(I5," ",K1)</f>
        <v>Network Security MSRs (H)</v>
      </c>
      <c r="M5" s="93"/>
      <c r="N5" s="93"/>
      <c r="O5" s="93"/>
      <c r="P5" s="104"/>
      <c r="Q5" s="93"/>
      <c r="R5" s="93"/>
    </row>
    <row r="6" spans="1:18" x14ac:dyDescent="0.25">
      <c r="A6" s="93"/>
      <c r="B6" s="93" t="s">
        <v>351</v>
      </c>
      <c r="C6" s="93"/>
      <c r="D6" s="93"/>
      <c r="E6" s="93"/>
      <c r="F6" s="93" t="s">
        <v>157</v>
      </c>
      <c r="H6" s="93"/>
      <c r="I6" s="93" t="s">
        <v>352</v>
      </c>
      <c r="J6" s="93"/>
      <c r="K6" s="93"/>
      <c r="L6" s="93" t="str">
        <f>_xlfn.CONCAT(I6," ",K1)</f>
        <v>Software Development MSRs (H)</v>
      </c>
      <c r="M6" s="93"/>
      <c r="N6" s="93"/>
      <c r="O6" s="93"/>
      <c r="P6" s="93"/>
      <c r="Q6" s="93"/>
      <c r="R6" s="93"/>
    </row>
    <row r="7" spans="1:18" x14ac:dyDescent="0.25">
      <c r="A7" s="30" t="s">
        <v>87</v>
      </c>
      <c r="B7" s="93" t="s">
        <v>353</v>
      </c>
      <c r="C7" s="93"/>
      <c r="D7" s="93"/>
      <c r="E7" s="93"/>
      <c r="F7" s="93" t="s">
        <v>153</v>
      </c>
      <c r="H7" s="93"/>
      <c r="I7" s="93"/>
      <c r="J7" s="93"/>
      <c r="K7" s="93"/>
      <c r="L7" s="93"/>
      <c r="M7" s="93"/>
      <c r="N7" s="93"/>
      <c r="O7" s="93"/>
      <c r="P7" s="93"/>
      <c r="Q7" s="93"/>
      <c r="R7" s="93"/>
    </row>
    <row r="8" spans="1:18" x14ac:dyDescent="0.25">
      <c r="A8" s="31" t="s">
        <v>79</v>
      </c>
      <c r="B8" s="93" t="s">
        <v>354</v>
      </c>
      <c r="C8" s="93"/>
      <c r="D8" s="93"/>
      <c r="E8" s="93"/>
      <c r="F8" s="93" t="s">
        <v>127</v>
      </c>
      <c r="H8" s="93"/>
      <c r="I8" s="93"/>
      <c r="J8" s="93"/>
      <c r="K8" s="93"/>
      <c r="L8" s="93"/>
      <c r="M8" s="93"/>
      <c r="N8" s="93"/>
      <c r="O8" s="93"/>
      <c r="P8" s="93"/>
      <c r="Q8" s="93"/>
      <c r="R8" s="93"/>
    </row>
    <row r="9" spans="1:18" x14ac:dyDescent="0.25">
      <c r="A9" s="93"/>
      <c r="B9" s="93" t="s">
        <v>355</v>
      </c>
      <c r="C9" s="93"/>
      <c r="D9" s="93"/>
      <c r="E9" s="93"/>
      <c r="F9" s="93" t="s">
        <v>95</v>
      </c>
      <c r="H9" s="93"/>
      <c r="I9" s="93"/>
      <c r="J9" s="93"/>
      <c r="K9" s="93"/>
      <c r="L9" s="93"/>
      <c r="M9" s="93"/>
      <c r="N9" s="93"/>
      <c r="O9" s="93"/>
      <c r="P9" s="104"/>
      <c r="Q9" s="93"/>
      <c r="R9" s="93"/>
    </row>
    <row r="10" spans="1:18" s="93" customFormat="1" x14ac:dyDescent="0.25">
      <c r="B10" s="14"/>
      <c r="F10" s="93" t="s">
        <v>132</v>
      </c>
      <c r="P10" s="104"/>
    </row>
    <row r="11" spans="1:18" s="93" customFormat="1" x14ac:dyDescent="0.25">
      <c r="B11" s="14"/>
      <c r="F11" s="93" t="s">
        <v>171</v>
      </c>
    </row>
    <row r="12" spans="1:18" s="93" customFormat="1" x14ac:dyDescent="0.25">
      <c r="B12" s="10"/>
      <c r="F12" s="93" t="s">
        <v>230</v>
      </c>
    </row>
    <row r="13" spans="1:18" s="93" customFormat="1" x14ac:dyDescent="0.25">
      <c r="F13" s="93" t="s">
        <v>235</v>
      </c>
    </row>
    <row r="14" spans="1:18" x14ac:dyDescent="0.25">
      <c r="A14" s="93"/>
      <c r="B14" s="93"/>
      <c r="C14" s="93"/>
      <c r="D14" s="93"/>
      <c r="E14" s="93"/>
      <c r="F14" s="93" t="s">
        <v>356</v>
      </c>
      <c r="H14" s="93"/>
      <c r="I14" s="93"/>
      <c r="J14" s="93"/>
      <c r="K14" s="93"/>
      <c r="L14" s="93"/>
      <c r="M14" s="93"/>
      <c r="N14" s="93"/>
      <c r="O14" s="93"/>
      <c r="P14" s="93"/>
      <c r="Q14" s="93"/>
      <c r="R14" s="93"/>
    </row>
    <row r="15" spans="1:18" s="93" customFormat="1" x14ac:dyDescent="0.25"/>
    <row r="16" spans="1:18" s="93" customFormat="1" x14ac:dyDescent="0.25">
      <c r="A16" s="93" t="s">
        <v>357</v>
      </c>
    </row>
    <row r="17" spans="1:11" s="93" customFormat="1" x14ac:dyDescent="0.25"/>
    <row r="18" spans="1:11" s="123" customFormat="1" x14ac:dyDescent="0.25">
      <c r="A18" s="123" t="s">
        <v>358</v>
      </c>
      <c r="B18" s="93"/>
      <c r="C18" s="123" t="s">
        <v>359</v>
      </c>
      <c r="D18" s="123" t="s">
        <v>360</v>
      </c>
      <c r="E18" s="123" t="s">
        <v>361</v>
      </c>
      <c r="F18" s="123" t="s">
        <v>362</v>
      </c>
      <c r="G18" s="123" t="s">
        <v>363</v>
      </c>
    </row>
    <row r="19" spans="1:11" x14ac:dyDescent="0.25">
      <c r="A19" s="122">
        <f>IF('General Information'!$F$50="Yes",(_xlfn.IFS($K$1="(L)",COUNTIFS('Server BSRs (L)'!$F:$F,{"&lt;&gt;NOT APPLICABLE"},'Server BSRs (L)'!$I:$I,$H51),$K$1="(M)",COUNTIFS('Server BSRs (M)'!$F:$F,{"&lt;&gt;NOT APPLICABLE"},'Server BSRs (M)'!$I:$I,$H51),$K$1="(H)",COUNTIFS('Server BSRs (H)'!$F:$F,{"&lt;&gt;NOT APPLICABLE"},'Server BSRs (H)'!$I:$I,$H51))),0)</f>
        <v>0</v>
      </c>
      <c r="B19" s="123" t="s">
        <v>364</v>
      </c>
      <c r="C19" s="122">
        <f>IF('General Information'!$F$52="Yes",(_xlfn.IFS($K$1="(L)",COUNTIFS('Application BSRs (L)'!$F:$F,{"&lt;&gt;NOT APPLICABLE"},'Application BSRs (L)'!$I:$I,$H51), $K$1="(M)", COUNTIFS('Application BSRs (M)'!$F:$F,{"&lt;&gt;NOT APPLICABLE"},'Application BSRs (M)'!$I:$I,$H51), $K$1="(H)", COUNTIFS('Application BSRs (H)'!$F:$F,{"&lt;&gt;NOT APPLICABLE"},'Application BSRs (H)'!$I:$I,$H51))),0)</f>
        <v>0</v>
      </c>
      <c r="D19" s="122">
        <f>IF('General Information'!$F$53="Yes",(_xlfn.IFS($K$1="(L)",COUNTIFS('Saas - PaaS BSRs (L)'!$E:$E,{"&lt;&gt;NOT APPLICABLE"},'Saas - PaaS BSRs (L)'!$H:$H,$H51), $K$1="(M)", COUNTIFS('Saas - PaaS BSRs (M)'!$E:$E,{"&lt;&gt;NOT APPLICABLE"},'Saas - PaaS BSRs (M)'!$H:$H,$H51), $K$1="(H)", COUNTIFS('Saas - PaaS BSRs (H)'!$E:$E,{"&lt;&gt;NOT APPLICABLE"},'Saas - PaaS BSRs (H)'!$H:$H,$H51))),0)</f>
        <v>1</v>
      </c>
      <c r="E19" s="122">
        <f>IF('General Information'!$F$54="Yes",(_xlfn.IFS($K$1="(L)",COUNTIFS('Network Security BSRs (L)'!$E:$E,{"&lt;&gt;NOT APPLICABLE"},'Network Security BSRs (L)'!$H:$H,$H51), $K$1="(M)", COUNTIFS('Network Security BSRs (M)'!$E:$E,{"&lt;&gt;NOT APPLICABLE"},'Network Security BSRs (M)'!$H:$H,$H51), $K$1="(H)", COUNTIFS('Network Security BSRs (H)'!$E:$E,{"&lt;&gt;NOT APPLICABLE"},'Network Security BSRs (H)'!$H:$H,$H51))),0)</f>
        <v>0</v>
      </c>
      <c r="F19" s="122">
        <f>IF('General Information'!$F$55="Yes",(_xlfn.IFS($K$1="(L)",COUNTIFS('Software Development BSRs (L)'!$F:$F,{"&lt;&gt;NOT APPLICABLE"},'Software Development BSRs (L)'!$I:$I,$H51), $K$1="(M)", COUNTIFS('Software Development BSRs (M)'!$F:$F,{"&lt;&gt;NOT APPLICABLE"},'Software Development BSRs (M)'!$I:$I,$H51), $K$1="(H)", COUNTIFS('Software Development BSRs (H)'!$F:$F,{"&lt;&gt;NOT APPLICABLE"},'Software Development BSRs (H)'!$I:$I,$H51))),0)</f>
        <v>0</v>
      </c>
      <c r="G19" s="122">
        <f>IF('General Information'!$F$56="Yes",(_xlfn.IFS($K$1="(L)",COUNTIFS('Autonomous Devices (L)'!$F:$F,{"&lt;&gt;NOT APPLICABLE"},'Autonomous Devices (L)'!$I:$I,$H51), $K$1="(M)", COUNTIFS('Autonomous Devices (M)'!$F:$F,{"&lt;&gt;NOT APPLICABLE"},'Autonomous Devices (M)'!$I:$I,$H51), $K$1="(H)", COUNTIFS('Autonomous Devices (H)'!$F:$F,{"&lt;&gt;NOT APPLICABLE"},'Autonomous Devices (H)'!$I:$I,$H51))),0)</f>
        <v>0</v>
      </c>
      <c r="H19" s="93" t="s">
        <v>189</v>
      </c>
      <c r="I19" s="93">
        <f>SUM($A19:$G19)</f>
        <v>1</v>
      </c>
      <c r="J19" s="93"/>
      <c r="K19" s="93"/>
    </row>
    <row r="20" spans="1:11" x14ac:dyDescent="0.25">
      <c r="A20" s="122">
        <f>IF('General Information'!$F$50="Yes",(_xlfn.IFS($K$1="(L)",COUNTIFS('Server BSRs (L)'!$F:$F,{"&lt;&gt;NOT APPLICABLE"},'Server BSRs (L)'!$I:$I,$H20),$K$1="(M)",COUNTIFS('Server BSRs (M)'!$F:$F,{"&lt;&gt;NOT APPLICABLE"},'Server BSRs (M)'!$I:$I,$H20),$K$1="(H)",COUNTIFS('Server BSRs (H)'!$F:$F,{"&lt;&gt;NOT APPLICABLE"},'Server BSRs (H)'!$I:$I,$H20))),0)</f>
        <v>0</v>
      </c>
      <c r="B20" s="122">
        <f>IF('General Information'!$F$51 ="Yes",(_xlfn.IFS($K$1="(L)",COUNTIFS('End User Devices BSRs (L)'!$F:$F,{"&lt;&gt;NOT APPLICABLE"},'End User Devices BSRs (M)'!$I:$I,$H51), $K$1="(M)", COUNTIFS('End User Devices BSRs (L)'!$F:$F,{"&lt;&gt;NOT APPLICABLE"},'End User Devices BSRs (M)'!$I:$I,$H51), $K$1="(H)", COUNTIFS('End User Devices BSRs (H)'!$F:$F,{"&lt;&gt;NOT APPLICABLE"},'End User Devices BSRs (H)'!$I:$I,$H51))),0)</f>
        <v>0</v>
      </c>
      <c r="C20" s="122">
        <f>IF('General Information'!$F$52="Yes",(_xlfn.IFS($K$1="(L)",COUNTIFS('Application BSRs (L)'!$F:$F,{"&lt;&gt;NOT APPLICABLE"},'Application BSRs (L)'!$I:$I,$H20), $K$1="(M)", COUNTIFS('Application BSRs (M)'!$F:$F,{"&lt;&gt;NOT APPLICABLE"},'Application BSRs (M)'!$I:$I,$H20), $K$1="(H)", COUNTIFS('Application BSRs (H)'!$F:$F,{"&lt;&gt;NOT APPLICABLE"},'Application BSRs (H)'!$I:$I,$H20))),0)</f>
        <v>0</v>
      </c>
      <c r="D20" s="122">
        <f>IF('General Information'!$F$53="Yes",(_xlfn.IFS($K$1="(L)",COUNTIFS('Saas - PaaS BSRs (L)'!$E:$E,{"&lt;&gt;NOT APPLICABLE"},'Saas - PaaS BSRs (L)'!$H:$H,$H20), $K$1="(M)", COUNTIFS('Saas - PaaS BSRs (M)'!$E:$E,{"&lt;&gt;NOT APPLICABLE"},'Saas - PaaS BSRs (M)'!$H:$H,$H20), $K$1="(H)", COUNTIFS('Saas - PaaS BSRs (H)'!$E:$E,{"&lt;&gt;NOT APPLICABLE"},'Saas - PaaS BSRs (H)'!$H:$H,$H20))),0)</f>
        <v>0</v>
      </c>
      <c r="E20" s="122">
        <f>IF('General Information'!$F$54="Yes",(_xlfn.IFS($K$1="(L)",COUNTIFS('Network Security BSRs (L)'!$E:$E,{"&lt;&gt;NOT APPLICABLE"},'Network Security BSRs (L)'!$H:$H,$H20), $K$1="(M)", COUNTIFS('Network Security BSRs (M)'!$E:$E,{"&lt;&gt;NOT APPLICABLE"},'Network Security BSRs (M)'!$H:$H,$H20), $K$1="(H)", COUNTIFS('Network Security BSRs (H)'!$E:$E,{"&lt;&gt;NOT APPLICABLE"},'Network Security BSRs (H)'!$H:$H,$H20))),0)</f>
        <v>0</v>
      </c>
      <c r="F20" s="122">
        <f>IF('General Information'!$F$55="Yes",(_xlfn.IFS($K$1="(L)",COUNTIFS('Software Development BSRs (L)'!$F:$F,{"&lt;&gt;NOT APPLICABLE"},'Software Development BSRs (L)'!$I:$I,$H20), $K$1="(M)", COUNTIFS('Software Development BSRs (M)'!$F:$F,{"&lt;&gt;NOT APPLICABLE"},'Software Development BSRs (M)'!$I:$I,$H20), $K$1="(H)", COUNTIFS('Software Development BSRs (H)'!$F:$F,{"&lt;&gt;NOT APPLICABLE"},'Software Development BSRs (H)'!$I:$I,$H20))),0)</f>
        <v>0</v>
      </c>
      <c r="G20" s="122">
        <f>IF('General Information'!$F$56="Yes",(_xlfn.IFS($K$1="(L)",COUNTIFS('Autonomous Devices (L)'!$F:$F,{"&lt;&gt;NOT APPLICABLE"},'Autonomous Devices (L)'!$I:$I,$H20), $K$1="(M)", COUNTIFS('Autonomous Devices (M)'!$F:$F,{"&lt;&gt;NOT APPLICABLE"},'Autonomous Devices (M)'!$I:$I,$H20), $K$1="(H)", COUNTIFS('Autonomous Devices (H)'!$F:$F,{"&lt;&gt;NOT APPLICABLE"},'Autonomous Devices (H)'!$I:$I,$H20))),0)</f>
        <v>0</v>
      </c>
      <c r="H20" s="93" t="s">
        <v>84</v>
      </c>
      <c r="I20" s="93">
        <f t="shared" ref="I20:I31" si="0">SUM($A20:$G20)</f>
        <v>0</v>
      </c>
      <c r="J20" s="93"/>
      <c r="K20" s="93"/>
    </row>
    <row r="21" spans="1:11" x14ac:dyDescent="0.25">
      <c r="A21" s="122">
        <f>IF('General Information'!$F$50="Yes",(_xlfn.IFS($K$1="(L)",COUNTIFS('Server BSRs (L)'!$F:$F,{"&lt;&gt;NOT APPLICABLE"},'Server BSRs (L)'!$I:$I,$H21),$K$1="(M)",COUNTIFS('Server BSRs (M)'!$F:$F,{"&lt;&gt;NOT APPLICABLE"},'Server BSRs (M)'!$I:$I,$H21),$K$1="(H)",COUNTIFS('Server BSRs (H)'!$F:$F,{"&lt;&gt;NOT APPLICABLE"},'Server BSRs (H)'!$I:$I,$H21))),0)</f>
        <v>0</v>
      </c>
      <c r="B21" s="122">
        <f>IF('General Information'!$F$51 ="Yes",(_xlfn.IFS($K$1="(L)",COUNTIFS('End User Devices BSRs (L)'!$F:$F,{"&lt;&gt;NOT APPLICABLE"},'End User Devices BSRs (M)'!$I:$I,$H20), $K$1="(M)", COUNTIFS('End User Devices BSRs (L)'!$F:$F,{"&lt;&gt;NOT APPLICABLE"},'End User Devices BSRs (M)'!$I:$I,$H20), $K$1="(H)", COUNTIFS('End User Devices BSRs (H)'!$F:$F,{"&lt;&gt;NOT APPLICABLE"},'End User Devices BSRs (H)'!$I:$I,$H20))),0)</f>
        <v>0</v>
      </c>
      <c r="C21" s="122">
        <f>IF('General Information'!$F$52="Yes",(_xlfn.IFS($K$1="(L)",COUNTIFS('Application BSRs (L)'!$F:$F,{"&lt;&gt;NOT APPLICABLE"},'Application BSRs (L)'!$I:$I,$H21), $K$1="(M)", COUNTIFS('Application BSRs (M)'!$F:$F,{"&lt;&gt;NOT APPLICABLE"},'Application BSRs (M)'!$I:$I,$H21), $K$1="(H)", COUNTIFS('Application BSRs (H)'!$F:$F,{"&lt;&gt;NOT APPLICABLE"},'Application BSRs (H)'!$I:$I,$H21))),0)</f>
        <v>0</v>
      </c>
      <c r="D21" s="122">
        <f>IF('General Information'!$F$53="Yes",(_xlfn.IFS($K$1="(L)",COUNTIFS('Saas - PaaS BSRs (L)'!$E:$E,{"&lt;&gt;NOT APPLICABLE"},'Saas - PaaS BSRs (L)'!$H:$H,$H21), $K$1="(M)", COUNTIFS('Saas - PaaS BSRs (M)'!$E:$E,{"&lt;&gt;NOT APPLICABLE"},'Saas - PaaS BSRs (M)'!$H:$H,$H21), $K$1="(H)", COUNTIFS('Saas - PaaS BSRs (H)'!$E:$E,{"&lt;&gt;NOT APPLICABLE"},'Saas - PaaS BSRs (H)'!$H:$H,$H21))),0)</f>
        <v>0</v>
      </c>
      <c r="E21" s="122">
        <f>IF('General Information'!$F$54="Yes",(_xlfn.IFS($K$1="(L)",COUNTIFS('Network Security BSRs (L)'!$E:$E,{"&lt;&gt;NOT APPLICABLE"},'Network Security BSRs (L)'!$H:$H,$H21), $K$1="(M)", COUNTIFS('Network Security BSRs (M)'!$E:$E,{"&lt;&gt;NOT APPLICABLE"},'Network Security BSRs (M)'!$H:$H,$H21), $K$1="(H)", COUNTIFS('Network Security BSRs (H)'!$E:$E,{"&lt;&gt;NOT APPLICABLE"},'Network Security BSRs (H)'!$H:$H,$H21))),0)</f>
        <v>0</v>
      </c>
      <c r="F21" s="122">
        <f>IF('General Information'!$F$55="Yes",(_xlfn.IFS($K$1="(L)",COUNTIFS('Software Development BSRs (L)'!$F:$F,{"&lt;&gt;NOT APPLICABLE"},'Software Development BSRs (L)'!$I:$I,$H21), $K$1="(M)", COUNTIFS('Software Development BSRs (M)'!$F:$F,{"&lt;&gt;NOT APPLICABLE"},'Software Development BSRs (M)'!$I:$I,$H21), $K$1="(H)", COUNTIFS('Software Development BSRs (H)'!$F:$F,{"&lt;&gt;NOT APPLICABLE"},'Software Development BSRs (H)'!$I:$I,$H21))),0)</f>
        <v>0</v>
      </c>
      <c r="G21" s="122">
        <f>IF('General Information'!$F$56="Yes",(_xlfn.IFS($K$1="(L)",COUNTIFS('Autonomous Devices (L)'!$F:$F,{"&lt;&gt;NOT APPLICABLE"},'Autonomous Devices (L)'!$I:$I,$H21), $K$1="(M)", COUNTIFS('Autonomous Devices (M)'!$F:$F,{"&lt;&gt;NOT APPLICABLE"},'Autonomous Devices (M)'!$I:$I,$H21), $K$1="(H)", COUNTIFS('Autonomous Devices (H)'!$F:$F,{"&lt;&gt;NOT APPLICABLE"},'Autonomous Devices (H)'!$I:$I,$H21))),0)</f>
        <v>0</v>
      </c>
      <c r="H21" s="93" t="s">
        <v>120</v>
      </c>
      <c r="I21" s="93">
        <f t="shared" si="0"/>
        <v>0</v>
      </c>
      <c r="J21" s="93"/>
      <c r="K21" s="93"/>
    </row>
    <row r="22" spans="1:11" x14ac:dyDescent="0.25">
      <c r="A22" s="122">
        <f>IF('General Information'!$F$50="Yes",(_xlfn.IFS($K$1="(L)",COUNTIFS('Server BSRs (L)'!$F:$F,{"&lt;&gt;NOT APPLICABLE"},'Server BSRs (L)'!$I:$I,$H22),$K$1="(M)",COUNTIFS('Server BSRs (M)'!$F:$F,{"&lt;&gt;NOT APPLICABLE"},'Server BSRs (M)'!$I:$I,$H22),$K$1="(H)",COUNTIFS('Server BSRs (H)'!$F:$F,{"&lt;&gt;NOT APPLICABLE"},'Server BSRs (H)'!$I:$I,$H22))),0)</f>
        <v>0</v>
      </c>
      <c r="B22" s="122">
        <f>IF('General Information'!$F$51 ="Yes",(_xlfn.IFS($K$1="(L)",COUNTIFS('End User Devices BSRs (L)'!$F:$F,{"&lt;&gt;NOT APPLICABLE"},'End User Devices BSRs (M)'!$I:$I,$H21), $K$1="(M)", COUNTIFS('End User Devices BSRs (L)'!$F:$F,{"&lt;&gt;NOT APPLICABLE"},'End User Devices BSRs (M)'!$I:$I,$H21), $K$1="(H)", COUNTIFS('End User Devices BSRs (H)'!$F:$F,{"&lt;&gt;NOT APPLICABLE"},'End User Devices BSRs (H)'!$I:$I,$H21))),0)</f>
        <v>0</v>
      </c>
      <c r="C22" s="122">
        <f>IF('General Information'!$F$52="Yes",(_xlfn.IFS($K$1="(L)",COUNTIFS('Application BSRs (L)'!$F:$F,{"&lt;&gt;NOT APPLICABLE"},'Application BSRs (L)'!$I:$I,$H22), $K$1="(M)", COUNTIFS('Application BSRs (M)'!$F:$F,{"&lt;&gt;NOT APPLICABLE"},'Application BSRs (M)'!$I:$I,$H22), $K$1="(H)", COUNTIFS('Application BSRs (H)'!$F:$F,{"&lt;&gt;NOT APPLICABLE"},'Application BSRs (H)'!$I:$I,$H22))),0)</f>
        <v>0</v>
      </c>
      <c r="D22" s="122">
        <f>IF('General Information'!$F$53="Yes",(_xlfn.IFS($K$1="(L)",COUNTIFS('Saas - PaaS BSRs (L)'!$E:$E,{"&lt;&gt;NOT APPLICABLE"},'Saas - PaaS BSRs (L)'!$H:$H,$H22), $K$1="(M)", COUNTIFS('Saas - PaaS BSRs (M)'!$E:$E,{"&lt;&gt;NOT APPLICABLE"},'Saas - PaaS BSRs (M)'!$H:$H,$H22), $K$1="(H)", COUNTIFS('Saas - PaaS BSRs (H)'!$E:$E,{"&lt;&gt;NOT APPLICABLE"},'Saas - PaaS BSRs (H)'!$H:$H,$H22))),0)</f>
        <v>2</v>
      </c>
      <c r="E22" s="122">
        <f>IF('General Information'!$F$54="Yes",(_xlfn.IFS($K$1="(L)",COUNTIFS('Network Security BSRs (L)'!$E:$E,{"&lt;&gt;NOT APPLICABLE"},'Network Security BSRs (L)'!$H:$H,$H22), $K$1="(M)", COUNTIFS('Network Security BSRs (M)'!$E:$E,{"&lt;&gt;NOT APPLICABLE"},'Network Security BSRs (M)'!$H:$H,$H22), $K$1="(H)", COUNTIFS('Network Security BSRs (H)'!$E:$E,{"&lt;&gt;NOT APPLICABLE"},'Network Security BSRs (H)'!$H:$H,$H22))),0)</f>
        <v>1</v>
      </c>
      <c r="F22" s="122">
        <f>IF('General Information'!$F$55="Yes",(_xlfn.IFS($K$1="(L)",COUNTIFS('Software Development BSRs (L)'!$F:$F,{"&lt;&gt;NOT APPLICABLE"},'Software Development BSRs (L)'!$I:$I,$H22), $K$1="(M)", COUNTIFS('Software Development BSRs (M)'!$F:$F,{"&lt;&gt;NOT APPLICABLE"},'Software Development BSRs (M)'!$I:$I,$H22), $K$1="(H)", COUNTIFS('Software Development BSRs (H)'!$F:$F,{"&lt;&gt;NOT APPLICABLE"},'Software Development BSRs (H)'!$I:$I,$H22))),0)</f>
        <v>0</v>
      </c>
      <c r="G22" s="122">
        <f>IF('General Information'!$F$56="Yes",(_xlfn.IFS($K$1="(L)",COUNTIFS('Autonomous Devices (L)'!$F:$F,{"&lt;&gt;NOT APPLICABLE"},'Autonomous Devices (L)'!$I:$I,$H22), $K$1="(M)", COUNTIFS('Autonomous Devices (M)'!$F:$F,{"&lt;&gt;NOT APPLICABLE"},'Autonomous Devices (M)'!$I:$I,$H22), $K$1="(H)", COUNTIFS('Autonomous Devices (H)'!$F:$F,{"&lt;&gt;NOT APPLICABLE"},'Autonomous Devices (H)'!$I:$I,$H22))),0)</f>
        <v>0</v>
      </c>
      <c r="H22" s="93" t="s">
        <v>103</v>
      </c>
      <c r="I22" s="93">
        <f t="shared" si="0"/>
        <v>3</v>
      </c>
      <c r="J22" s="93"/>
      <c r="K22" s="93"/>
    </row>
    <row r="23" spans="1:11" x14ac:dyDescent="0.25">
      <c r="A23" s="122">
        <f>IF('General Information'!$F$50="Yes",(_xlfn.IFS($K$1="(L)",COUNTIFS('Server BSRs (L)'!$F:$F,{"&lt;&gt;NOT APPLICABLE"},'Server BSRs (L)'!$I:$I,$H23),$K$1="(M)",COUNTIFS('Server BSRs (M)'!$F:$F,{"&lt;&gt;NOT APPLICABLE"},'Server BSRs (M)'!$I:$I,$H23),$K$1="(H)",COUNTIFS('Server BSRs (H)'!$F:$F,{"&lt;&gt;NOT APPLICABLE"},'Server BSRs (H)'!$I:$I,$H23))),0)</f>
        <v>0</v>
      </c>
      <c r="B23" s="122">
        <f>IF('General Information'!$F$51 ="Yes",(_xlfn.IFS($K$1="(L)",COUNTIFS('End User Devices BSRs (L)'!$F:$F,{"&lt;&gt;NOT APPLICABLE"},'End User Devices BSRs (M)'!$I:$I,$H22), $K$1="(M)", COUNTIFS('End User Devices BSRs (L)'!$F:$F,{"&lt;&gt;NOT APPLICABLE"},'End User Devices BSRs (M)'!$I:$I,$H22), $K$1="(H)", COUNTIFS('End User Devices BSRs (H)'!$F:$F,{"&lt;&gt;NOT APPLICABLE"},'End User Devices BSRs (H)'!$I:$I,$H22))),0)</f>
        <v>0</v>
      </c>
      <c r="C23" s="122">
        <f>IF('General Information'!$F$52="Yes",(_xlfn.IFS($K$1="(L)",COUNTIFS('Application BSRs (L)'!$F:$F,{"&lt;&gt;NOT APPLICABLE"},'Application BSRs (L)'!$I:$I,$H23), $K$1="(M)", COUNTIFS('Application BSRs (M)'!$F:$F,{"&lt;&gt;NOT APPLICABLE"},'Application BSRs (M)'!$I:$I,$H23), $K$1="(H)", COUNTIFS('Application BSRs (H)'!$F:$F,{"&lt;&gt;NOT APPLICABLE"},'Application BSRs (H)'!$I:$I,$H23))),0)</f>
        <v>0</v>
      </c>
      <c r="D23" s="122">
        <f>IF('General Information'!$F$53="Yes",(_xlfn.IFS($K$1="(L)",COUNTIFS('Saas - PaaS BSRs (L)'!$E:$E,{"&lt;&gt;NOT APPLICABLE"},'Saas - PaaS BSRs (L)'!$H:$H,$H23), $K$1="(M)", COUNTIFS('Saas - PaaS BSRs (M)'!$E:$E,{"&lt;&gt;NOT APPLICABLE"},'Saas - PaaS BSRs (M)'!$H:$H,$H23), $K$1="(H)", COUNTIFS('Saas - PaaS BSRs (H)'!$E:$E,{"&lt;&gt;NOT APPLICABLE"},'Saas - PaaS BSRs (H)'!$H:$H,$H23))),0)</f>
        <v>0</v>
      </c>
      <c r="E23" s="122">
        <f>IF('General Information'!$F$54="Yes",(_xlfn.IFS($K$1="(L)",COUNTIFS('Network Security BSRs (L)'!$E:$E,{"&lt;&gt;NOT APPLICABLE"},'Network Security BSRs (L)'!$H:$H,$H23), $K$1="(M)", COUNTIFS('Network Security BSRs (M)'!$E:$E,{"&lt;&gt;NOT APPLICABLE"},'Network Security BSRs (M)'!$H:$H,$H23), $K$1="(H)", COUNTIFS('Network Security BSRs (H)'!$E:$E,{"&lt;&gt;NOT APPLICABLE"},'Network Security BSRs (H)'!$H:$H,$H23))),0)</f>
        <v>0</v>
      </c>
      <c r="F23" s="122">
        <f>IF('General Information'!$F$55="Yes",(_xlfn.IFS($K$1="(L)",COUNTIFS('Software Development BSRs (L)'!$F:$F,{"&lt;&gt;NOT APPLICABLE"},'Software Development BSRs (L)'!$I:$I,$H23), $K$1="(M)", COUNTIFS('Software Development BSRs (M)'!$F:$F,{"&lt;&gt;NOT APPLICABLE"},'Software Development BSRs (M)'!$I:$I,$H23), $K$1="(H)", COUNTIFS('Software Development BSRs (H)'!$F:$F,{"&lt;&gt;NOT APPLICABLE"},'Software Development BSRs (H)'!$I:$I,$H23))),0)</f>
        <v>0</v>
      </c>
      <c r="G23" s="122">
        <f>IF('General Information'!$F$56="Yes",(_xlfn.IFS($K$1="(L)",COUNTIFS('Autonomous Devices (L)'!$F:$F,{"&lt;&gt;NOT APPLICABLE"},'Autonomous Devices (L)'!$I:$I,$H23), $K$1="(M)", COUNTIFS('Autonomous Devices (M)'!$F:$F,{"&lt;&gt;NOT APPLICABLE"},'Autonomous Devices (M)'!$I:$I,$H23), $K$1="(H)", COUNTIFS('Autonomous Devices (H)'!$F:$F,{"&lt;&gt;NOT APPLICABLE"},'Autonomous Devices (H)'!$I:$I,$H23))),0)</f>
        <v>0</v>
      </c>
      <c r="H23" s="93" t="s">
        <v>349</v>
      </c>
      <c r="I23" s="93">
        <f t="shared" si="0"/>
        <v>0</v>
      </c>
      <c r="J23" s="93"/>
      <c r="K23" s="93"/>
    </row>
    <row r="24" spans="1:11" x14ac:dyDescent="0.25">
      <c r="A24" s="122">
        <f>IF('General Information'!$F$50="Yes",(_xlfn.IFS($K$1="(L)",COUNTIFS('Server BSRs (L)'!$F:$F,{"&lt;&gt;NOT APPLICABLE"},'Server BSRs (L)'!$I:$I,$H24),$K$1="(M)",COUNTIFS('Server BSRs (M)'!$F:$F,{"&lt;&gt;NOT APPLICABLE"},'Server BSRs (M)'!$I:$I,$H24),$K$1="(H)",COUNTIFS('Server BSRs (H)'!$F:$F,{"&lt;&gt;NOT APPLICABLE"},'Server BSRs (H)'!$I:$I,$H24))),0)</f>
        <v>0</v>
      </c>
      <c r="B24" s="122">
        <f>IF('General Information'!$F$51 ="Yes",(_xlfn.IFS($K$1="(L)",COUNTIFS('End User Devices BSRs (L)'!$F:$F,{"&lt;&gt;NOT APPLICABLE"},'End User Devices BSRs (M)'!$I:$I,$H23), $K$1="(M)", COUNTIFS('End User Devices BSRs (L)'!$F:$F,{"&lt;&gt;NOT APPLICABLE"},'End User Devices BSRs (M)'!$I:$I,$H23), $K$1="(H)", COUNTIFS('End User Devices BSRs (H)'!$F:$F,{"&lt;&gt;NOT APPLICABLE"},'End User Devices BSRs (H)'!$I:$I,$H23))),0)</f>
        <v>0</v>
      </c>
      <c r="C24" s="122">
        <f>IF('General Information'!$F$52="Yes",(_xlfn.IFS($K$1="(L)",COUNTIFS('Application BSRs (L)'!$F:$F,{"&lt;&gt;NOT APPLICABLE"},'Application BSRs (L)'!$I:$I,$H24), $K$1="(M)", COUNTIFS('Application BSRs (M)'!$F:$F,{"&lt;&gt;NOT APPLICABLE"},'Application BSRs (M)'!$I:$I,$H24), $K$1="(H)", COUNTIFS('Application BSRs (H)'!$F:$F,{"&lt;&gt;NOT APPLICABLE"},'Application BSRs (H)'!$I:$I,$H24))),0)</f>
        <v>0</v>
      </c>
      <c r="D24" s="122">
        <f>IF('General Information'!$F$53="Yes",(_xlfn.IFS($K$1="(L)",COUNTIFS('Saas - PaaS BSRs (L)'!$E:$E,{"&lt;&gt;NOT APPLICABLE"},'Saas - PaaS BSRs (L)'!$H:$H,$H24), $K$1="(M)", COUNTIFS('Saas - PaaS BSRs (M)'!$E:$E,{"&lt;&gt;NOT APPLICABLE"},'Saas - PaaS BSRs (M)'!$H:$H,$H24), $K$1="(H)", COUNTIFS('Saas - PaaS BSRs (H)'!$E:$E,{"&lt;&gt;NOT APPLICABLE"},'Saas - PaaS BSRs (H)'!$H:$H,$H24))),0)</f>
        <v>0</v>
      </c>
      <c r="E24" s="122">
        <f>IF('General Information'!$F$54="Yes",(_xlfn.IFS($K$1="(L)",COUNTIFS('Network Security BSRs (L)'!$E:$E,{"&lt;&gt;NOT APPLICABLE"},'Network Security BSRs (L)'!$H:$H,$H24), $K$1="(M)", COUNTIFS('Network Security BSRs (M)'!$E:$E,{"&lt;&gt;NOT APPLICABLE"},'Network Security BSRs (M)'!$H:$H,$H24), $K$1="(H)", COUNTIFS('Network Security BSRs (H)'!$E:$E,{"&lt;&gt;NOT APPLICABLE"},'Network Security BSRs (H)'!$H:$H,$H24))),0)</f>
        <v>2</v>
      </c>
      <c r="F24" s="122">
        <f>IF('General Information'!$F$55="Yes",(_xlfn.IFS($K$1="(L)",COUNTIFS('Software Development BSRs (L)'!$F:$F,{"&lt;&gt;NOT APPLICABLE"},'Software Development BSRs (L)'!$I:$I,$H24), $K$1="(M)", COUNTIFS('Software Development BSRs (M)'!$F:$F,{"&lt;&gt;NOT APPLICABLE"},'Software Development BSRs (M)'!$I:$I,$H24), $K$1="(H)", COUNTIFS('Software Development BSRs (H)'!$F:$F,{"&lt;&gt;NOT APPLICABLE"},'Software Development BSRs (H)'!$I:$I,$H24))),0)</f>
        <v>0</v>
      </c>
      <c r="G24" s="122">
        <f>IF('General Information'!$F$56="Yes",(_xlfn.IFS($K$1="(L)",COUNTIFS('Autonomous Devices (L)'!$F:$F,{"&lt;&gt;NOT APPLICABLE"},'Autonomous Devices (L)'!$I:$I,$H24), $K$1="(M)", COUNTIFS('Autonomous Devices (M)'!$F:$F,{"&lt;&gt;NOT APPLICABLE"},'Autonomous Devices (M)'!$I:$I,$H24), $K$1="(H)", COUNTIFS('Autonomous Devices (H)'!$F:$F,{"&lt;&gt;NOT APPLICABLE"},'Autonomous Devices (H)'!$I:$I,$H24))),0)</f>
        <v>0</v>
      </c>
      <c r="H24" s="93" t="s">
        <v>157</v>
      </c>
      <c r="I24" s="93">
        <f t="shared" si="0"/>
        <v>2</v>
      </c>
      <c r="J24" s="93"/>
      <c r="K24" s="93"/>
    </row>
    <row r="25" spans="1:11" x14ac:dyDescent="0.25">
      <c r="A25" s="122">
        <f>IF('General Information'!$F$50="Yes",(_xlfn.IFS($K$1="(L)",COUNTIFS('Server BSRs (L)'!$F:$F,{"&lt;&gt;NOT APPLICABLE"},'Server BSRs (L)'!$I:$I,$H25),$K$1="(M)",COUNTIFS('Server BSRs (M)'!$F:$F,{"&lt;&gt;NOT APPLICABLE"},'Server BSRs (M)'!$I:$I,$H25),$K$1="(H)",COUNTIFS('Server BSRs (H)'!$F:$F,{"&lt;&gt;NOT APPLICABLE"},'Server BSRs (H)'!$I:$I,$H25))),0)</f>
        <v>0</v>
      </c>
      <c r="B25" s="122">
        <f>IF('General Information'!$F$51 ="Yes",(_xlfn.IFS($K$1="(L)",COUNTIFS('End User Devices BSRs (L)'!$F:$F,{"&lt;&gt;NOT APPLICABLE"},'End User Devices BSRs (M)'!$I:$I,$H24), $K$1="(M)", COUNTIFS('End User Devices BSRs (L)'!$F:$F,{"&lt;&gt;NOT APPLICABLE"},'End User Devices BSRs (M)'!$I:$I,$H24), $K$1="(H)", COUNTIFS('End User Devices BSRs (H)'!$F:$F,{"&lt;&gt;NOT APPLICABLE"},'End User Devices BSRs (H)'!$I:$I,$H24))),0)</f>
        <v>0</v>
      </c>
      <c r="C25" s="122">
        <f>IF('General Information'!$F$52="Yes",(_xlfn.IFS($K$1="(L)",COUNTIFS('Application BSRs (L)'!$F:$F,{"&lt;&gt;NOT APPLICABLE"},'Application BSRs (L)'!$I:$I,$H25), $K$1="(M)", COUNTIFS('Application BSRs (M)'!$F:$F,{"&lt;&gt;NOT APPLICABLE"},'Application BSRs (M)'!$I:$I,$H25), $K$1="(H)", COUNTIFS('Application BSRs (H)'!$F:$F,{"&lt;&gt;NOT APPLICABLE"},'Application BSRs (H)'!$I:$I,$H25))),0)</f>
        <v>0</v>
      </c>
      <c r="D25" s="122">
        <f>IF('General Information'!$F$53="Yes",(_xlfn.IFS($K$1="(L)",COUNTIFS('Saas - PaaS BSRs (L)'!$E:$E,{"&lt;&gt;NOT APPLICABLE"},'Saas - PaaS BSRs (L)'!$H:$H,$H25), $K$1="(M)", COUNTIFS('Saas - PaaS BSRs (M)'!$E:$E,{"&lt;&gt;NOT APPLICABLE"},'Saas - PaaS BSRs (M)'!$H:$H,$H25), $K$1="(H)", COUNTIFS('Saas - PaaS BSRs (H)'!$E:$E,{"&lt;&gt;NOT APPLICABLE"},'Saas - PaaS BSRs (H)'!$H:$H,$H25))),0)</f>
        <v>3</v>
      </c>
      <c r="E25" s="122">
        <f>IF('General Information'!$F$54="Yes",(_xlfn.IFS($K$1="(L)",COUNTIFS('Network Security BSRs (L)'!$E:$E,{"&lt;&gt;NOT APPLICABLE"},'Network Security BSRs (L)'!$H:$H,$H25), $K$1="(M)", COUNTIFS('Network Security BSRs (M)'!$E:$E,{"&lt;&gt;NOT APPLICABLE"},'Network Security BSRs (M)'!$H:$H,$H25), $K$1="(H)", COUNTIFS('Network Security BSRs (H)'!$E:$E,{"&lt;&gt;NOT APPLICABLE"},'Network Security BSRs (H)'!$H:$H,$H25))),0)</f>
        <v>0</v>
      </c>
      <c r="F25" s="122">
        <f>IF('General Information'!$F$55="Yes",(_xlfn.IFS($K$1="(L)",COUNTIFS('Software Development BSRs (L)'!$F:$F,{"&lt;&gt;NOT APPLICABLE"},'Software Development BSRs (L)'!$I:$I,$H25), $K$1="(M)", COUNTIFS('Software Development BSRs (M)'!$F:$F,{"&lt;&gt;NOT APPLICABLE"},'Software Development BSRs (M)'!$I:$I,$H25), $K$1="(H)", COUNTIFS('Software Development BSRs (H)'!$F:$F,{"&lt;&gt;NOT APPLICABLE"},'Software Development BSRs (H)'!$I:$I,$H25))),0)</f>
        <v>0</v>
      </c>
      <c r="G25" s="122">
        <f>IF('General Information'!$F$56="Yes",(_xlfn.IFS($K$1="(L)",COUNTIFS('Autonomous Devices (L)'!$F:$F,{"&lt;&gt;NOT APPLICABLE"},'Autonomous Devices (L)'!$I:$I,$H25), $K$1="(M)", COUNTIFS('Autonomous Devices (M)'!$F:$F,{"&lt;&gt;NOT APPLICABLE"},'Autonomous Devices (M)'!$I:$I,$H25), $K$1="(H)", COUNTIFS('Autonomous Devices (H)'!$F:$F,{"&lt;&gt;NOT APPLICABLE"},'Autonomous Devices (H)'!$I:$I,$H25))),0)</f>
        <v>0</v>
      </c>
      <c r="H25" s="93" t="s">
        <v>153</v>
      </c>
      <c r="I25" s="93">
        <f t="shared" si="0"/>
        <v>3</v>
      </c>
      <c r="J25" s="93"/>
      <c r="K25" s="93"/>
    </row>
    <row r="26" spans="1:11" x14ac:dyDescent="0.25">
      <c r="A26" s="122">
        <f>IF('General Information'!$F$50="Yes",(_xlfn.IFS($K$1="(L)",COUNTIFS('Server BSRs (L)'!$F:$F,{"&lt;&gt;NOT APPLICABLE"},'Server BSRs (L)'!$I:$I,$H26),$K$1="(M)",COUNTIFS('Server BSRs (M)'!$F:$F,{"&lt;&gt;NOT APPLICABLE"},'Server BSRs (M)'!$I:$I,$H26),$K$1="(H)",COUNTIFS('Server BSRs (H)'!$F:$F,{"&lt;&gt;NOT APPLICABLE"},'Server BSRs (H)'!$I:$I,$H26))),0)</f>
        <v>0</v>
      </c>
      <c r="B26" s="122">
        <f>IF('General Information'!$F$51 ="Yes",(_xlfn.IFS($K$1="(L)",COUNTIFS('End User Devices BSRs (L)'!$F:$F,{"&lt;&gt;NOT APPLICABLE"},'End User Devices BSRs (M)'!$I:$I,$H25), $K$1="(M)", COUNTIFS('End User Devices BSRs (L)'!$F:$F,{"&lt;&gt;NOT APPLICABLE"},'End User Devices BSRs (M)'!$I:$I,$H25), $K$1="(H)", COUNTIFS('End User Devices BSRs (H)'!$F:$F,{"&lt;&gt;NOT APPLICABLE"},'End User Devices BSRs (H)'!$I:$I,$H25))),0)</f>
        <v>0</v>
      </c>
      <c r="C26" s="122">
        <f>IF('General Information'!$F$52="Yes",(_xlfn.IFS($K$1="(L)",COUNTIFS('Application BSRs (L)'!$F:$F,{"&lt;&gt;NOT APPLICABLE"},'Application BSRs (L)'!$I:$I,$H26), $K$1="(M)", COUNTIFS('Application BSRs (M)'!$F:$F,{"&lt;&gt;NOT APPLICABLE"},'Application BSRs (M)'!$I:$I,$H26), $K$1="(H)", COUNTIFS('Application BSRs (H)'!$F:$F,{"&lt;&gt;NOT APPLICABLE"},'Application BSRs (H)'!$I:$I,$H26))),0)</f>
        <v>0</v>
      </c>
      <c r="D26" s="122">
        <f>IF('General Information'!$F$53="Yes",(_xlfn.IFS($K$1="(L)",COUNTIFS('Saas - PaaS BSRs (L)'!$E:$E,{"&lt;&gt;NOT APPLICABLE"},'Saas - PaaS BSRs (L)'!$H:$H,$H26), $K$1="(M)", COUNTIFS('Saas - PaaS BSRs (M)'!$E:$E,{"&lt;&gt;NOT APPLICABLE"},'Saas - PaaS BSRs (M)'!$H:$H,$H26), $K$1="(H)", COUNTIFS('Saas - PaaS BSRs (H)'!$E:$E,{"&lt;&gt;NOT APPLICABLE"},'Saas - PaaS BSRs (H)'!$H:$H,$H26))),0)</f>
        <v>1</v>
      </c>
      <c r="E26" s="122">
        <f>IF('General Information'!$F$54="Yes",(_xlfn.IFS($K$1="(L)",COUNTIFS('Network Security BSRs (L)'!$E:$E,{"&lt;&gt;NOT APPLICABLE"},'Network Security BSRs (L)'!$H:$H,$H26), $K$1="(M)", COUNTIFS('Network Security BSRs (M)'!$E:$E,{"&lt;&gt;NOT APPLICABLE"},'Network Security BSRs (M)'!$H:$H,$H26), $K$1="(H)", COUNTIFS('Network Security BSRs (H)'!$E:$E,{"&lt;&gt;NOT APPLICABLE"},'Network Security BSRs (H)'!$H:$H,$H26))),0)</f>
        <v>0</v>
      </c>
      <c r="F26" s="122">
        <f>IF('General Information'!$F$55="Yes",(_xlfn.IFS($K$1="(L)",COUNTIFS('Software Development BSRs (L)'!$F:$F,{"&lt;&gt;NOT APPLICABLE"},'Software Development BSRs (L)'!$I:$I,$H26), $K$1="(M)", COUNTIFS('Software Development BSRs (M)'!$F:$F,{"&lt;&gt;NOT APPLICABLE"},'Software Development BSRs (M)'!$I:$I,$H26), $K$1="(H)", COUNTIFS('Software Development BSRs (H)'!$F:$F,{"&lt;&gt;NOT APPLICABLE"},'Software Development BSRs (H)'!$I:$I,$H26))),0)</f>
        <v>0</v>
      </c>
      <c r="G26" s="122">
        <f>IF('General Information'!$F$56="Yes",(_xlfn.IFS($K$1="(L)",COUNTIFS('Autonomous Devices (L)'!$F:$F,{"&lt;&gt;NOT APPLICABLE"},'Autonomous Devices (L)'!$I:$I,$H26), $K$1="(M)", COUNTIFS('Autonomous Devices (M)'!$F:$F,{"&lt;&gt;NOT APPLICABLE"},'Autonomous Devices (M)'!$I:$I,$H26), $K$1="(H)", COUNTIFS('Autonomous Devices (H)'!$F:$F,{"&lt;&gt;NOT APPLICABLE"},'Autonomous Devices (H)'!$I:$I,$H26))),0)</f>
        <v>0</v>
      </c>
      <c r="H26" s="93" t="s">
        <v>127</v>
      </c>
      <c r="I26" s="93">
        <f t="shared" si="0"/>
        <v>1</v>
      </c>
      <c r="J26" s="93"/>
      <c r="K26" s="93"/>
    </row>
    <row r="27" spans="1:11" x14ac:dyDescent="0.25">
      <c r="A27" s="122">
        <f>IF('General Information'!$F$50="Yes",(_xlfn.IFS($K$1="(L)",COUNTIFS('Server BSRs (L)'!$F:$F,{"&lt;&gt;NOT APPLICABLE"},'Server BSRs (L)'!$I:$I,$H27),$K$1="(M)",COUNTIFS('Server BSRs (M)'!$F:$F,{"&lt;&gt;NOT APPLICABLE"},'Server BSRs (M)'!$I:$I,$H27),$K$1="(H)",COUNTIFS('Server BSRs (H)'!$F:$F,{"&lt;&gt;NOT APPLICABLE"},'Server BSRs (H)'!$I:$I,$H27))),0)</f>
        <v>0</v>
      </c>
      <c r="B27" s="122">
        <f>IF('General Information'!$F$51 ="Yes",(_xlfn.IFS($K$1="(L)",COUNTIFS('End User Devices BSRs (L)'!$F:$F,{"&lt;&gt;NOT APPLICABLE"},'End User Devices BSRs (M)'!$I:$I,$H26), $K$1="(M)", COUNTIFS('End User Devices BSRs (L)'!$F:$F,{"&lt;&gt;NOT APPLICABLE"},'End User Devices BSRs (M)'!$I:$I,$H26), $K$1="(H)", COUNTIFS('End User Devices BSRs (H)'!$F:$F,{"&lt;&gt;NOT APPLICABLE"},'End User Devices BSRs (H)'!$I:$I,$H26))),0)</f>
        <v>0</v>
      </c>
      <c r="C27" s="122">
        <f>IF('General Information'!$F$52="Yes",(_xlfn.IFS($K$1="(L)",COUNTIFS('Application BSRs (L)'!$F:$F,{"&lt;&gt;NOT APPLICABLE"},'Application BSRs (L)'!$I:$I,$H27), $K$1="(M)", COUNTIFS('Application BSRs (M)'!$F:$F,{"&lt;&gt;NOT APPLICABLE"},'Application BSRs (M)'!$I:$I,$H27), $K$1="(H)", COUNTIFS('Application BSRs (H)'!$F:$F,{"&lt;&gt;NOT APPLICABLE"},'Application BSRs (H)'!$I:$I,$H27))),0)</f>
        <v>0</v>
      </c>
      <c r="D27" s="122">
        <f>IF('General Information'!$F$53="Yes",(_xlfn.IFS($K$1="(L)",COUNTIFS('Saas - PaaS BSRs (L)'!$E:$E,{"&lt;&gt;NOT APPLICABLE"},'Saas - PaaS BSRs (L)'!$H:$H,$H27), $K$1="(M)", COUNTIFS('Saas - PaaS BSRs (M)'!$E:$E,{"&lt;&gt;NOT APPLICABLE"},'Saas - PaaS BSRs (M)'!$H:$H,$H27), $K$1="(H)", COUNTIFS('Saas - PaaS BSRs (H)'!$E:$E,{"&lt;&gt;NOT APPLICABLE"},'Saas - PaaS BSRs (H)'!$H:$H,$H27))),0)</f>
        <v>1</v>
      </c>
      <c r="E27" s="122">
        <f>IF('General Information'!$F$54="Yes",(_xlfn.IFS($K$1="(L)",COUNTIFS('Network Security BSRs (L)'!$E:$E,{"&lt;&gt;NOT APPLICABLE"},'Network Security BSRs (L)'!$H:$H,$H27), $K$1="(M)", COUNTIFS('Network Security BSRs (M)'!$E:$E,{"&lt;&gt;NOT APPLICABLE"},'Network Security BSRs (M)'!$H:$H,$H27), $K$1="(H)", COUNTIFS('Network Security BSRs (H)'!$E:$E,{"&lt;&gt;NOT APPLICABLE"},'Network Security BSRs (H)'!$H:$H,$H27))),0)</f>
        <v>0</v>
      </c>
      <c r="F27" s="122">
        <f>IF('General Information'!$F$55="Yes",(_xlfn.IFS($K$1="(L)",COUNTIFS('Software Development BSRs (L)'!$F:$F,{"&lt;&gt;NOT APPLICABLE"},'Software Development BSRs (L)'!$I:$I,$H27), $K$1="(M)", COUNTIFS('Software Development BSRs (M)'!$F:$F,{"&lt;&gt;NOT APPLICABLE"},'Software Development BSRs (M)'!$I:$I,$H27), $K$1="(H)", COUNTIFS('Software Development BSRs (H)'!$F:$F,{"&lt;&gt;NOT APPLICABLE"},'Software Development BSRs (H)'!$I:$I,$H27))),0)</f>
        <v>0</v>
      </c>
      <c r="G27" s="122">
        <f>IF('General Information'!$F$56="Yes",(_xlfn.IFS($K$1="(L)",COUNTIFS('Autonomous Devices (L)'!$F:$F,{"&lt;&gt;NOT APPLICABLE"},'Autonomous Devices (L)'!$I:$I,$H27), $K$1="(M)", COUNTIFS('Autonomous Devices (M)'!$F:$F,{"&lt;&gt;NOT APPLICABLE"},'Autonomous Devices (M)'!$I:$I,$H27), $K$1="(H)", COUNTIFS('Autonomous Devices (H)'!$F:$F,{"&lt;&gt;NOT APPLICABLE"},'Autonomous Devices (H)'!$I:$I,$H27))),0)</f>
        <v>0</v>
      </c>
      <c r="H27" s="93" t="s">
        <v>95</v>
      </c>
      <c r="I27" s="93">
        <f t="shared" si="0"/>
        <v>1</v>
      </c>
      <c r="J27" s="93"/>
      <c r="K27" s="93"/>
    </row>
    <row r="28" spans="1:11" x14ac:dyDescent="0.25">
      <c r="A28" s="122">
        <f>IF('General Information'!$F$50="Yes",(_xlfn.IFS($K$1="(L)",COUNTIFS('Server BSRs (L)'!$F:$F,{"&lt;&gt;NOT APPLICABLE"},'Server BSRs (L)'!$I:$I,$H28),$K$1="(M)",COUNTIFS('Server BSRs (M)'!$F:$F,{"&lt;&gt;NOT APPLICABLE"},'Server BSRs (M)'!$I:$I,$H28),$K$1="(H)",COUNTIFS('Server BSRs (H)'!$F:$F,{"&lt;&gt;NOT APPLICABLE"},'Server BSRs (H)'!$I:$I,$H28))),0)</f>
        <v>0</v>
      </c>
      <c r="B28" s="122">
        <f>IF('General Information'!$F$51 ="Yes",(_xlfn.IFS($K$1="(L)",COUNTIFS('End User Devices BSRs (L)'!$F:$F,{"&lt;&gt;NOT APPLICABLE"},'End User Devices BSRs (M)'!$I:$I,$H27), $K$1="(M)", COUNTIFS('End User Devices BSRs (L)'!$F:$F,{"&lt;&gt;NOT APPLICABLE"},'End User Devices BSRs (M)'!$I:$I,$H27), $K$1="(H)", COUNTIFS('End User Devices BSRs (H)'!$F:$F,{"&lt;&gt;NOT APPLICABLE"},'End User Devices BSRs (H)'!$I:$I,$H27))),0)</f>
        <v>0</v>
      </c>
      <c r="C28" s="122">
        <f>IF('General Information'!$F$52="Yes",(_xlfn.IFS($K$1="(L)",COUNTIFS('Application BSRs (L)'!$F:$F,{"&lt;&gt;NOT APPLICABLE"},'Application BSRs (L)'!$I:$I,$H28), $K$1="(M)", COUNTIFS('Application BSRs (M)'!$F:$F,{"&lt;&gt;NOT APPLICABLE"},'Application BSRs (M)'!$I:$I,$H28), $K$1="(H)", COUNTIFS('Application BSRs (H)'!$F:$F,{"&lt;&gt;NOT APPLICABLE"},'Application BSRs (H)'!$I:$I,$H28))),0)</f>
        <v>0</v>
      </c>
      <c r="D28" s="122">
        <f>IF('General Information'!$F$53="Yes",(_xlfn.IFS($K$1="(L)",COUNTIFS('Saas - PaaS BSRs (L)'!$E:$E,{"&lt;&gt;NOT APPLICABLE"},'Saas - PaaS BSRs (L)'!$H:$H,$H28), $K$1="(M)", COUNTIFS('Saas - PaaS BSRs (M)'!$E:$E,{"&lt;&gt;NOT APPLICABLE"},'Saas - PaaS BSRs (M)'!$H:$H,$H28), $K$1="(H)", COUNTIFS('Saas - PaaS BSRs (H)'!$E:$E,{"&lt;&gt;NOT APPLICABLE"},'Saas - PaaS BSRs (H)'!$H:$H,$H28))),0)</f>
        <v>0</v>
      </c>
      <c r="E28" s="122">
        <f>IF('General Information'!$F$54="Yes",(_xlfn.IFS($K$1="(L)",COUNTIFS('Network Security BSRs (L)'!$E:$E,{"&lt;&gt;NOT APPLICABLE"},'Network Security BSRs (L)'!$H:$H,$H28), $K$1="(M)", COUNTIFS('Network Security BSRs (M)'!$E:$E,{"&lt;&gt;NOT APPLICABLE"},'Network Security BSRs (M)'!$H:$H,$H28), $K$1="(H)", COUNTIFS('Network Security BSRs (H)'!$E:$E,{"&lt;&gt;NOT APPLICABLE"},'Network Security BSRs (H)'!$H:$H,$H28))),0)</f>
        <v>0</v>
      </c>
      <c r="F28" s="122">
        <f>IF('General Information'!$F$55="Yes",(_xlfn.IFS($K$1="(L)",COUNTIFS('Software Development BSRs (L)'!$F:$F,{"&lt;&gt;NOT APPLICABLE"},'Software Development BSRs (L)'!$I:$I,$H28), $K$1="(M)", COUNTIFS('Software Development BSRs (M)'!$F:$F,{"&lt;&gt;NOT APPLICABLE"},'Software Development BSRs (M)'!$I:$I,$H28), $K$1="(H)", COUNTIFS('Software Development BSRs (H)'!$F:$F,{"&lt;&gt;NOT APPLICABLE"},'Software Development BSRs (H)'!$I:$I,$H28))),0)</f>
        <v>0</v>
      </c>
      <c r="G28" s="122">
        <f>IF('General Information'!$F$56="Yes",(_xlfn.IFS($K$1="(L)",COUNTIFS('Autonomous Devices (L)'!$F:$F,{"&lt;&gt;NOT APPLICABLE"},'Autonomous Devices (L)'!$I:$I,$H28), $K$1="(M)", COUNTIFS('Autonomous Devices (M)'!$F:$F,{"&lt;&gt;NOT APPLICABLE"},'Autonomous Devices (M)'!$I:$I,$H28), $K$1="(H)", COUNTIFS('Autonomous Devices (H)'!$F:$F,{"&lt;&gt;NOT APPLICABLE"},'Autonomous Devices (H)'!$I:$I,$H28))),0)</f>
        <v>0</v>
      </c>
      <c r="H28" s="93" t="s">
        <v>235</v>
      </c>
      <c r="I28" s="93">
        <f t="shared" si="0"/>
        <v>0</v>
      </c>
      <c r="J28" s="93"/>
      <c r="K28" s="93"/>
    </row>
    <row r="29" spans="1:11" x14ac:dyDescent="0.25">
      <c r="A29" s="122">
        <f>IF('General Information'!$F$50="Yes",(_xlfn.IFS($K$1="(L)",COUNTIFS('Server BSRs (L)'!$F:$F,{"&lt;&gt;NOT APPLICABLE"},'Server BSRs (L)'!$I:$I,$H29),$K$1="(M)",COUNTIFS('Server BSRs (M)'!$F:$F,{"&lt;&gt;NOT APPLICABLE"},'Server BSRs (M)'!$I:$I,$H29),$K$1="(H)",COUNTIFS('Server BSRs (H)'!$F:$F,{"&lt;&gt;NOT APPLICABLE"},'Server BSRs (H)'!$I:$I,$H29))),0)</f>
        <v>0</v>
      </c>
      <c r="B29" s="122">
        <f>IF('General Information'!$F$51 ="Yes",(_xlfn.IFS($K$1="(L)",COUNTIFS('End User Devices BSRs (L)'!$F:$F,{"&lt;&gt;NOT APPLICABLE"},'End User Devices BSRs (M)'!$I:$I,$H28), $K$1="(M)", COUNTIFS('End User Devices BSRs (L)'!$F:$F,{"&lt;&gt;NOT APPLICABLE"},'End User Devices BSRs (M)'!$I:$I,$H28), $K$1="(H)", COUNTIFS('End User Devices BSRs (H)'!$F:$F,{"&lt;&gt;NOT APPLICABLE"},'End User Devices BSRs (H)'!$I:$I,$H28))),0)</f>
        <v>0</v>
      </c>
      <c r="C29" s="122">
        <f>IF('General Information'!$F$52="Yes",(_xlfn.IFS($K$1="(L)",COUNTIFS('Application BSRs (L)'!$F:$F,{"&lt;&gt;NOT APPLICABLE"},'Application BSRs (L)'!$I:$I,$H29), $K$1="(M)", COUNTIFS('Application BSRs (M)'!$F:$F,{"&lt;&gt;NOT APPLICABLE"},'Application BSRs (M)'!$I:$I,$H29), $K$1="(H)", COUNTIFS('Application BSRs (H)'!$F:$F,{"&lt;&gt;NOT APPLICABLE"},'Application BSRs (H)'!$I:$I,$H29))),0)</f>
        <v>0</v>
      </c>
      <c r="D29" s="122">
        <f>IF('General Information'!$F$53="Yes",(_xlfn.IFS($K$1="(L)",COUNTIFS('Saas - PaaS BSRs (L)'!$E:$E,{"&lt;&gt;NOT APPLICABLE"},'Saas - PaaS BSRs (L)'!$H:$H,$H29), $K$1="(M)", COUNTIFS('Saas - PaaS BSRs (M)'!$E:$E,{"&lt;&gt;NOT APPLICABLE"},'Saas - PaaS BSRs (M)'!$H:$H,$H29), $K$1="(H)", COUNTIFS('Saas - PaaS BSRs (H)'!$E:$E,{"&lt;&gt;NOT APPLICABLE"},'Saas - PaaS BSRs (H)'!$H:$H,$H29))),0)</f>
        <v>2</v>
      </c>
      <c r="E29" s="122">
        <f>IF('General Information'!$F$54="Yes",(_xlfn.IFS($K$1="(L)",COUNTIFS('Network Security BSRs (L)'!$E:$E,{"&lt;&gt;NOT APPLICABLE"},'Network Security BSRs (L)'!$H:$H,$H29), $K$1="(M)", COUNTIFS('Network Security BSRs (M)'!$E:$E,{"&lt;&gt;NOT APPLICABLE"},'Network Security BSRs (M)'!$H:$H,$H29), $K$1="(H)", COUNTIFS('Network Security BSRs (H)'!$E:$E,{"&lt;&gt;NOT APPLICABLE"},'Network Security BSRs (H)'!$H:$H,$H29))),0)</f>
        <v>0</v>
      </c>
      <c r="F29" s="122">
        <f>IF('General Information'!$F$55="Yes",(_xlfn.IFS($K$1="(L)",COUNTIFS('Software Development BSRs (L)'!$F:$F,{"&lt;&gt;NOT APPLICABLE"},'Software Development BSRs (L)'!$I:$I,$H29), $K$1="(M)", COUNTIFS('Software Development BSRs (M)'!$F:$F,{"&lt;&gt;NOT APPLICABLE"},'Software Development BSRs (M)'!$I:$I,$H29), $K$1="(H)", COUNTIFS('Software Development BSRs (H)'!$F:$F,{"&lt;&gt;NOT APPLICABLE"},'Software Development BSRs (H)'!$I:$I,$H29))),0)</f>
        <v>0</v>
      </c>
      <c r="G29" s="122">
        <f>IF('General Information'!$F$56="Yes",(_xlfn.IFS($K$1="(L)",COUNTIFS('Autonomous Devices (L)'!$F:$F,{"&lt;&gt;NOT APPLICABLE"},'Autonomous Devices (L)'!$I:$I,$H29), $K$1="(M)", COUNTIFS('Autonomous Devices (M)'!$F:$F,{"&lt;&gt;NOT APPLICABLE"},'Autonomous Devices (M)'!$I:$I,$H29), $K$1="(H)", COUNTIFS('Autonomous Devices (H)'!$F:$F,{"&lt;&gt;NOT APPLICABLE"},'Autonomous Devices (H)'!$I:$I,$H29))),0)</f>
        <v>0</v>
      </c>
      <c r="H29" s="93" t="s">
        <v>171</v>
      </c>
      <c r="I29" s="93">
        <f t="shared" si="0"/>
        <v>2</v>
      </c>
      <c r="J29" s="93"/>
      <c r="K29" s="93"/>
    </row>
    <row r="30" spans="1:11" x14ac:dyDescent="0.25">
      <c r="A30" s="122">
        <f>IF('General Information'!$F$50="Yes",(_xlfn.IFS($K$1="(L)",COUNTIFS('Server BSRs (L)'!$F:$F,{"&lt;&gt;NOT APPLICABLE"},'Server BSRs (L)'!$I:$I,$H30),$K$1="(M)",COUNTIFS('Server BSRs (M)'!$F:$F,{"&lt;&gt;NOT APPLICABLE"},'Server BSRs (M)'!$I:$I,$H30),$K$1="(H)",COUNTIFS('Server BSRs (H)'!$F:$F,{"&lt;&gt;NOT APPLICABLE"},'Server BSRs (H)'!$I:$I,$H30))),0)</f>
        <v>0</v>
      </c>
      <c r="B30" s="122">
        <f>IF('General Information'!$F$51 ="Yes",(_xlfn.IFS($K$1="(L)",COUNTIFS('End User Devices BSRs (L)'!$F:$F,{"&lt;&gt;NOT APPLICABLE"},'End User Devices BSRs (M)'!$I:$I,$H29), $K$1="(M)", COUNTIFS('End User Devices BSRs (L)'!$F:$F,{"&lt;&gt;NOT APPLICABLE"},'End User Devices BSRs (M)'!$I:$I,$H29), $K$1="(H)", COUNTIFS('End User Devices BSRs (H)'!$F:$F,{"&lt;&gt;NOT APPLICABLE"},'End User Devices BSRs (H)'!$I:$I,$H29))),0)</f>
        <v>0</v>
      </c>
      <c r="C30" s="122">
        <f>IF('General Information'!$F$52="Yes",(_xlfn.IFS($K$1="(L)",COUNTIFS('Application BSRs (L)'!$F:$F,{"&lt;&gt;NOT APPLICABLE"},'Application BSRs (L)'!$I:$I,$H30), $K$1="(M)", COUNTIFS('Application BSRs (M)'!$F:$F,{"&lt;&gt;NOT APPLICABLE"},'Application BSRs (M)'!$I:$I,$H30), $K$1="(H)", COUNTIFS('Application BSRs (H)'!$F:$F,{"&lt;&gt;NOT APPLICABLE"},'Application BSRs (H)'!$I:$I,$H30))),0)</f>
        <v>0</v>
      </c>
      <c r="D30" s="122">
        <f>IF('General Information'!$F$53="Yes",(_xlfn.IFS($K$1="(L)",COUNTIFS('Saas - PaaS BSRs (L)'!$E:$E,{"&lt;&gt;NOT APPLICABLE"},'Saas - PaaS BSRs (L)'!$H:$H,$H30), $K$1="(M)", COUNTIFS('Saas - PaaS BSRs (M)'!$E:$E,{"&lt;&gt;NOT APPLICABLE"},'Saas - PaaS BSRs (M)'!$H:$H,$H30), $K$1="(H)", COUNTIFS('Saas - PaaS BSRs (H)'!$E:$E,{"&lt;&gt;NOT APPLICABLE"},'Saas - PaaS BSRs (H)'!$H:$H,$H30))),0)</f>
        <v>0</v>
      </c>
      <c r="E30" s="122">
        <f>IF('General Information'!$F$54="Yes",(_xlfn.IFS($K$1="(L)",COUNTIFS('Network Security BSRs (L)'!$E:$E,{"&lt;&gt;NOT APPLICABLE"},'Network Security BSRs (L)'!$H:$H,$H30), $K$1="(M)", COUNTIFS('Network Security BSRs (M)'!$E:$E,{"&lt;&gt;NOT APPLICABLE"},'Network Security BSRs (M)'!$H:$H,$H30), $K$1="(H)", COUNTIFS('Network Security BSRs (H)'!$E:$E,{"&lt;&gt;NOT APPLICABLE"},'Network Security BSRs (H)'!$H:$H,$H30))),0)</f>
        <v>0</v>
      </c>
      <c r="F30" s="122">
        <f>IF('General Information'!$F$55="Yes",(_xlfn.IFS($K$1="(L)",COUNTIFS('Software Development BSRs (L)'!$F:$F,{"&lt;&gt;NOT APPLICABLE"},'Software Development BSRs (L)'!$I:$I,$H30), $K$1="(M)", COUNTIFS('Software Development BSRs (M)'!$F:$F,{"&lt;&gt;NOT APPLICABLE"},'Software Development BSRs (M)'!$I:$I,$H30), $K$1="(H)", COUNTIFS('Software Development BSRs (H)'!$F:$F,{"&lt;&gt;NOT APPLICABLE"},'Software Development BSRs (H)'!$I:$I,$H30))),0)</f>
        <v>0</v>
      </c>
      <c r="G30" s="122">
        <f>IF('General Information'!$F$56="Yes",(_xlfn.IFS($K$1="(L)",COUNTIFS('Autonomous Devices (L)'!$F:$F,{"&lt;&gt;NOT APPLICABLE"},'Autonomous Devices (L)'!$I:$I,$H30), $K$1="(M)", COUNTIFS('Autonomous Devices (M)'!$F:$F,{"&lt;&gt;NOT APPLICABLE"},'Autonomous Devices (M)'!$I:$I,$H30), $K$1="(H)", COUNTIFS('Autonomous Devices (H)'!$F:$F,{"&lt;&gt;NOT APPLICABLE"},'Autonomous Devices (H)'!$I:$I,$H30))),0)</f>
        <v>0</v>
      </c>
      <c r="H30" s="93" t="s">
        <v>132</v>
      </c>
      <c r="I30" s="93">
        <f t="shared" si="0"/>
        <v>0</v>
      </c>
      <c r="J30" s="93"/>
      <c r="K30" s="93"/>
    </row>
    <row r="31" spans="1:11" x14ac:dyDescent="0.25">
      <c r="A31" s="122">
        <f>IF('General Information'!$F$50="Yes",(_xlfn.IFS($K$1="(L)",COUNTIFS('Server BSRs (L)'!$F:$F,{"&lt;&gt;NOT APPLICABLE"},'Server BSRs (L)'!$I:$I,$H31),$K$1="(M)",COUNTIFS('Server BSRs (M)'!$F:$F,{"&lt;&gt;NOT APPLICABLE"},'Server BSRs (M)'!$I:$I,$H31),$K$1="(H)",COUNTIFS('Server BSRs (H)'!$F:$F,{"&lt;&gt;NOT APPLICABLE"},'Server BSRs (H)'!$I:$I,$H31))),0)</f>
        <v>0</v>
      </c>
      <c r="B31" s="122">
        <f>IF('General Information'!$F$51 ="Yes",(_xlfn.IFS($K$1="(L)",COUNTIFS('End User Devices BSRs (L)'!$F:$F,{"&lt;&gt;NOT APPLICABLE"},'End User Devices BSRs (M)'!$I:$I,$H30), $K$1="(M)", COUNTIFS('End User Devices BSRs (L)'!$F:$F,{"&lt;&gt;NOT APPLICABLE"},'End User Devices BSRs (M)'!$I:$I,$H30), $K$1="(H)", COUNTIFS('End User Devices BSRs (H)'!$F:$F,{"&lt;&gt;NOT APPLICABLE"},'End User Devices BSRs (H)'!$I:$I,$H30))),0)</f>
        <v>0</v>
      </c>
      <c r="C31" s="122">
        <f>IF('General Information'!$F$52="Yes",(_xlfn.IFS($K$1="(L)",COUNTIFS('Application BSRs (L)'!$F:$F,{"&lt;&gt;NOT APPLICABLE"},'Application BSRs (L)'!$I:$I,$H31), $K$1="(M)", COUNTIFS('Application BSRs (M)'!$F:$F,{"&lt;&gt;NOT APPLICABLE"},'Application BSRs (M)'!$I:$I,$H31), $K$1="(H)", COUNTIFS('Application BSRs (H)'!$F:$F,{"&lt;&gt;NOT APPLICABLE"},'Application BSRs (H)'!$I:$I,$H31))),0)</f>
        <v>0</v>
      </c>
      <c r="D31" s="122">
        <f>IF('General Information'!$F$53="Yes",(_xlfn.IFS($K$1="(L)",COUNTIFS('Saas - PaaS BSRs (L)'!$E:$E,{"&lt;&gt;NOT APPLICABLE"},'Saas - PaaS BSRs (L)'!$H:$H,$H31), $K$1="(M)", COUNTIFS('Saas - PaaS BSRs (M)'!$E:$E,{"&lt;&gt;NOT APPLICABLE"},'Saas - PaaS BSRs (M)'!$H:$H,$H31), $K$1="(H)", COUNTIFS('Saas - PaaS BSRs (H)'!$E:$E,{"&lt;&gt;NOT APPLICABLE"},'Saas - PaaS BSRs (H)'!$H:$H,$H31))),0)</f>
        <v>1</v>
      </c>
      <c r="E31" s="122">
        <f>IF('General Information'!$F$54="Yes",(_xlfn.IFS($K$1="(L)",COUNTIFS('Network Security BSRs (L)'!$E:$E,{"&lt;&gt;NOT APPLICABLE"},'Network Security BSRs (L)'!$H:$H,$H31), $K$1="(M)", COUNTIFS('Network Security BSRs (M)'!$E:$E,{"&lt;&gt;NOT APPLICABLE"},'Network Security BSRs (M)'!$H:$H,$H31), $K$1="(H)", COUNTIFS('Network Security BSRs (H)'!$E:$E,{"&lt;&gt;NOT APPLICABLE"},'Network Security BSRs (H)'!$H:$H,$H31))),0)</f>
        <v>0</v>
      </c>
      <c r="F31" s="122">
        <f>IF('General Information'!$F$55="Yes",(_xlfn.IFS($K$1="(L)",COUNTIFS('Software Development BSRs (L)'!$F:$F,{"&lt;&gt;NOT APPLICABLE"},'Software Development BSRs (L)'!$I:$I,$H31), $K$1="(M)", COUNTIFS('Software Development BSRs (M)'!$F:$F,{"&lt;&gt;NOT APPLICABLE"},'Software Development BSRs (M)'!$I:$I,$H31), $K$1="(H)", COUNTIFS('Software Development BSRs (H)'!$F:$F,{"&lt;&gt;NOT APPLICABLE"},'Software Development BSRs (H)'!$I:$I,$H31))),0)</f>
        <v>0</v>
      </c>
      <c r="G31" s="122">
        <f>IF('General Information'!$F$56="Yes",(_xlfn.IFS($K$1="(L)",COUNTIFS('Autonomous Devices (L)'!$F:$F,{"&lt;&gt;NOT APPLICABLE"},'Autonomous Devices (L)'!$I:$I,$H31), $K$1="(M)", COUNTIFS('Autonomous Devices (M)'!$F:$F,{"&lt;&gt;NOT APPLICABLE"},'Autonomous Devices (M)'!$I:$I,$H31), $K$1="(H)", COUNTIFS('Autonomous Devices (H)'!$F:$F,{"&lt;&gt;NOT APPLICABLE"},'Autonomous Devices (H)'!$I:$I,$H31))),0)</f>
        <v>0</v>
      </c>
      <c r="H31" s="93" t="s">
        <v>230</v>
      </c>
      <c r="I31" s="93">
        <f t="shared" si="0"/>
        <v>1</v>
      </c>
      <c r="J31" s="93"/>
      <c r="K31" s="93"/>
    </row>
    <row r="32" spans="1:11" s="93" customFormat="1" x14ac:dyDescent="0.25">
      <c r="A32" s="122"/>
      <c r="B32" s="122">
        <f>IF('General Information'!$F$51 ="Yes",(_xlfn.IFS($K$1="(L)",COUNTIFS('End User Devices BSRs (L)'!$F:$F,{"&lt;&gt;NOT APPLICABLE"},'End User Devices BSRs (M)'!$I:$I,$H31), $K$1="(M)", COUNTIFS('End User Devices BSRs (L)'!$F:$F,{"&lt;&gt;NOT APPLICABLE"},'End User Devices BSRs (M)'!$I:$I,$H31), $K$1="(H)", COUNTIFS('End User Devices BSRs (H)'!$F:$F,{"&lt;&gt;NOT APPLICABLE"},'End User Devices BSRs (H)'!$I:$I,$H31))),0)</f>
        <v>0</v>
      </c>
      <c r="C32" s="122"/>
      <c r="D32" s="122"/>
      <c r="E32" s="122"/>
      <c r="F32" s="122"/>
      <c r="G32" s="122"/>
    </row>
    <row r="33" spans="1:9" x14ac:dyDescent="0.25">
      <c r="A33" s="93" t="s">
        <v>365</v>
      </c>
      <c r="B33" s="122"/>
      <c r="C33" s="93"/>
      <c r="D33" s="93"/>
      <c r="E33" s="93"/>
      <c r="F33" s="93"/>
      <c r="H33" s="93"/>
      <c r="I33" s="93"/>
    </row>
    <row r="34" spans="1:9" s="123" customFormat="1" x14ac:dyDescent="0.25">
      <c r="A34" s="123" t="s">
        <v>358</v>
      </c>
      <c r="B34" s="93"/>
      <c r="C34" s="123" t="s">
        <v>359</v>
      </c>
      <c r="D34" s="123" t="s">
        <v>360</v>
      </c>
      <c r="E34" s="123" t="s">
        <v>361</v>
      </c>
      <c r="F34" s="123" t="s">
        <v>362</v>
      </c>
      <c r="G34" s="123" t="s">
        <v>363</v>
      </c>
      <c r="H34" s="124" t="s">
        <v>111</v>
      </c>
    </row>
    <row r="35" spans="1:9" x14ac:dyDescent="0.25">
      <c r="A35" s="123">
        <f>IF('General Information'!$F$50="Yes",(_xlfn.IFS($K$1="(L)",COUNTIFS('Server BSRs (L)'!$I:$I,$H35,'Server BSRs (L)'!$G:$G,$H$34), $K$1="(M)", COUNTIFS('Server BSRs (M)'!$I:$I,$H35,'Server BSRs (M)'!$G:$G,$H$34), $K$1="(H)", COUNTIFS('Server BSRs (H)'!$I:$I,$H35,'Server BSRs (H)'!$G:$G,$H$34))),0)</f>
        <v>0</v>
      </c>
      <c r="B35" s="123" t="s">
        <v>364</v>
      </c>
      <c r="C35" s="123">
        <f>IF('General Information'!$F$52 ="Yes",(_xlfn.IFS($K$1="(L)",COUNTIFS('Application BSRs (L)'!$I:$I,$H35,'Application BSRs (L)'!$G:$G,$H$34), $K$1="(M)", COUNTIFS('Application BSRs (M)'!$I:$I,$H35,'Application BSRs (M)'!$G:$G,$H$34), $K$1="(H)", COUNTIFS('Application BSRs (H)'!$I:$I,$H35,'Application BSRs (H)'!$G:$G,$H$34))),0)</f>
        <v>0</v>
      </c>
      <c r="D35" s="123">
        <f>IF('General Information'!$F$53 ="Yes",(_xlfn.IFS($K$1="(L)",COUNTIFS('Saas - PaaS BSRs (L)'!$H:$H,$H35,'Saas - PaaS BSRs (L)'!$F:$F,$H$34), $K$1="(M)", COUNTIFS('Saas - PaaS BSRs (M)'!$H:$H,$H35,'Saas - PaaS BSRs (M)'!$F:$F,$H$34), $K$1="(H)", COUNTIFS('Saas - PaaS BSRs (H)'!$H:$H,$H35,'Saas - PaaS BSRs (H)'!$F:$F,$H$34))),0)</f>
        <v>0</v>
      </c>
      <c r="E35" s="123">
        <f>IF('General Information'!$F$54 ="Yes",(_xlfn.IFS($K$1="(L)",COUNTIFS('Network Security BSRs (L)'!$H:$H,$H35,'Network Security BSRs (L)'!$F:$F,$H$34), $K$1="(M)", COUNTIFS('Network Security BSRs (M)'!$H:$H,$H35,'Network Security BSRs (M)'!$F:$F,$H$34), $K$1="(H)", COUNTIFS('Network Security BSRs (H)'!$H:$H,$H35,'Network Security BSRs (H)'!$F:$F,$H$34))),0)</f>
        <v>0</v>
      </c>
      <c r="F35" s="123">
        <f>IF('General Information'!$F$55 ="Yes",(_xlfn.IFS($K$1="(L)",COUNTIFS('Software Development BSRs (L)'!$I:$I,$H35,'Software Development BSRs (L)'!$G:$G,$H$34), $K$1="(M)", COUNTIFS('Software Development BSRs (M)'!$I:$I,$H35,'Software Development BSRs (M)'!$G:$G,$H$34), $K$1="(H)", COUNTIFS('Software Development BSRs (H)'!$I:$I,$H35,'Software Development BSRs (H)'!$G:$G,$H$34))),0)</f>
        <v>0</v>
      </c>
      <c r="G35" s="123">
        <f>IF('General Information'!$F$56 ="Yes",(_xlfn.IFS($K$1="(L)",COUNTIFS('Autonomous Devices (L)'!$I:$I,$H35,'Autonomous Devices (L)'!$G:$G,$H$34), $K$1="(M)", COUNTIFS('Autonomous Devices (M)'!$I:$I,$H35,'Autonomous Devices (M)'!$G:$G,$H$34), $K$1="(H)", COUNTIFS('Autonomous Devices (H)'!$I:$I,$H35,'Autonomous Devices (H)'!$G:$G,$H$34))),0)</f>
        <v>0</v>
      </c>
      <c r="H35" s="93" t="s">
        <v>189</v>
      </c>
      <c r="I35" s="93">
        <f>SUM($A35:G$35)</f>
        <v>0</v>
      </c>
    </row>
    <row r="36" spans="1:9" x14ac:dyDescent="0.25">
      <c r="A36" s="123">
        <f>IF('General Information'!$F$50="Yes",(_xlfn.IFS($K$1="(L)",COUNTIFS('Server BSRs (L)'!$I:$I,$H36,'Server BSRs (L)'!$G:$G,$H$34), $K$1="(M)", COUNTIFS('Server BSRs (M)'!$I:$I,$H36,'Server BSRs (M)'!$G:$G,$H$34), $K$1="(H)", COUNTIFS('Server BSRs (H)'!$I:$I,$H36,'Server BSRs (H)'!$G:$G,$H$34))),0)</f>
        <v>0</v>
      </c>
      <c r="B36" s="123">
        <f>IF('General Information'!$F$51 ="Yes",(_xlfn.IFS($K$1="(L)",COUNTIFS('End User Devices BSRs (L)'!$I:$I,$H35,'End User Devices BSRs (L)'!$G:$G,$H$34), $K$1="(M)", COUNTIFS('End User Devices BSRs (M)'!$I:$I,$H35,'End User Devices BSRs (M)'!$G:$G,$H$34), $K$1="(H)", COUNTIFS('End User Devices BSRs (H)'!$I:$I,$H35,'End User Devices BSRs (H)'!$G:$G,$H$34))),0)</f>
        <v>0</v>
      </c>
      <c r="C36" s="123">
        <f>IF('General Information'!$F$52 ="Yes",(_xlfn.IFS($K$1="(L)",COUNTIFS('Application BSRs (L)'!$I:$I,$H36,'Application BSRs (L)'!$G:$G,$H$34), $K$1="(M)", COUNTIFS('Application BSRs (M)'!$I:$I,$H36,'Application BSRs (M)'!$G:$G,$H$34), $K$1="(H)", COUNTIFS('Application BSRs (H)'!$I:$I,$H36,'Application BSRs (H)'!$G:$G,$H$34))),0)</f>
        <v>0</v>
      </c>
      <c r="D36" s="123">
        <f>IF('General Information'!$F$53 ="Yes",(_xlfn.IFS($K$1="(L)",COUNTIFS('Saas - PaaS BSRs (L)'!$H:$H,$H36,'Saas - PaaS BSRs (L)'!$F:$F,$H$34), $K$1="(M)", COUNTIFS('Saas - PaaS BSRs (M)'!$H:$H,$H36,'Saas - PaaS BSRs (M)'!$F:$F,$H$34), $K$1="(H)", COUNTIFS('Saas - PaaS BSRs (H)'!$H:$H,$H36,'Saas - PaaS BSRs (H)'!$F:$F,$H$34))),0)</f>
        <v>0</v>
      </c>
      <c r="E36" s="123">
        <f>IF('General Information'!$F$54 ="Yes",(_xlfn.IFS($K$1="(L)",COUNTIFS('Network Security BSRs (L)'!$H:$H,$H36,'Network Security BSRs (L)'!$F:$F,$H$34), $K$1="(M)", COUNTIFS('Network Security BSRs (M)'!$H:$H,$H36,'Network Security BSRs (M)'!$F:$F,$H$34), $K$1="(H)", COUNTIFS('Network Security BSRs (H)'!$H:$H,$H36,'Network Security BSRs (H)'!$F:$F,$H$34))),0)</f>
        <v>0</v>
      </c>
      <c r="F36" s="123">
        <f>IF('General Information'!$F$55 ="Yes",(_xlfn.IFS($K$1="(L)",COUNTIFS('Software Development BSRs (L)'!$I:$I,$H36,'Software Development BSRs (L)'!$G:$G,$H$34), $K$1="(M)", COUNTIFS('Software Development BSRs (M)'!$I:$I,$H36,'Software Development BSRs (M)'!$G:$G,$H$34), $K$1="(H)", COUNTIFS('Software Development BSRs (H)'!$I:$I,$H36,'Software Development BSRs (H)'!$G:$G,$H$34))),0)</f>
        <v>0</v>
      </c>
      <c r="G36" s="123">
        <f>IF('General Information'!$F$56 ="Yes",(_xlfn.IFS($K$1="(L)",COUNTIFS('Autonomous Devices (L)'!$I:$I,$H36,'Autonomous Devices (L)'!$G:$G,$H$34), $K$1="(M)", COUNTIFS('Autonomous Devices (M)'!$I:$I,$H36,'Autonomous Devices (M)'!$G:$G,$H$34), $K$1="(H)", COUNTIFS('Autonomous Devices (H)'!$I:$I,$H36,'Autonomous Devices (H)'!$G:$G,$H$34))),0)</f>
        <v>0</v>
      </c>
      <c r="H36" s="93" t="s">
        <v>84</v>
      </c>
      <c r="I36" s="93">
        <f t="shared" ref="I36:I47" si="1">SUM(A36:G36)</f>
        <v>0</v>
      </c>
    </row>
    <row r="37" spans="1:9" x14ac:dyDescent="0.25">
      <c r="A37" s="123">
        <f>IF('General Information'!$F$50="Yes",(_xlfn.IFS($K$1="(L)",COUNTIFS('Server BSRs (L)'!$I:$I,$H37,'Server BSRs (L)'!$G:$G,$H$34), $K$1="(M)", COUNTIFS('Server BSRs (M)'!$I:$I,$H37,'Server BSRs (M)'!$G:$G,$H$34), $K$1="(H)", COUNTIFS('Server BSRs (H)'!$I:$I,$H37,'Server BSRs (H)'!$G:$G,$H$34))),0)</f>
        <v>0</v>
      </c>
      <c r="B37" s="123">
        <f>IF('General Information'!$F$51 ="Yes",(_xlfn.IFS($K$1="(L)",COUNTIFS('End User Devices BSRs (L)'!$I:$I,$H36,'End User Devices BSRs (L)'!$G:$G,$H$34), $K$1="(M)", COUNTIFS('End User Devices BSRs (M)'!$I:$I,$H36,'End User Devices BSRs (M)'!$G:$G,$H$34), $K$1="(H)", COUNTIFS('End User Devices BSRs (H)'!$I:$I,$H36,'End User Devices BSRs (H)'!$G:$G,$H$34))),0)</f>
        <v>0</v>
      </c>
      <c r="C37" s="123">
        <f>IF('General Information'!$F$52 ="Yes",(_xlfn.IFS($K$1="(L)",COUNTIFS('Application BSRs (L)'!$I:$I,$H37,'Application BSRs (L)'!$G:$G,$H$34), $K$1="(M)", COUNTIFS('Application BSRs (M)'!$I:$I,$H37,'Application BSRs (M)'!$G:$G,$H$34), $K$1="(H)", COUNTIFS('Application BSRs (H)'!$I:$I,$H37,'Application BSRs (H)'!$G:$G,$H$34))),0)</f>
        <v>0</v>
      </c>
      <c r="D37" s="123">
        <f>IF('General Information'!$F$53 ="Yes",(_xlfn.IFS($K$1="(L)",COUNTIFS('Saas - PaaS BSRs (L)'!$H:$H,$H37,'Saas - PaaS BSRs (L)'!$F:$F,$H$34), $K$1="(M)", COUNTIFS('Saas - PaaS BSRs (M)'!$H:$H,$H37,'Saas - PaaS BSRs (M)'!$F:$F,$H$34), $K$1="(H)", COUNTIFS('Saas - PaaS BSRs (H)'!$H:$H,$H37,'Saas - PaaS BSRs (H)'!$F:$F,$H$34))),0)</f>
        <v>0</v>
      </c>
      <c r="E37" s="123">
        <f>IF('General Information'!$F$54 ="Yes",(_xlfn.IFS($K$1="(L)",COUNTIFS('Network Security BSRs (L)'!$H:$H,$H37,'Network Security BSRs (L)'!$F:$F,$H$34), $K$1="(M)", COUNTIFS('Network Security BSRs (M)'!$H:$H,$H37,'Network Security BSRs (M)'!$F:$F,$H$34), $K$1="(H)", COUNTIFS('Network Security BSRs (H)'!$H:$H,$H37,'Network Security BSRs (H)'!$F:$F,$H$34))),0)</f>
        <v>0</v>
      </c>
      <c r="F37" s="123">
        <f>IF('General Information'!$F$55 ="Yes",(_xlfn.IFS($K$1="(L)",COUNTIFS('Software Development BSRs (L)'!$I:$I,$H37,'Software Development BSRs (L)'!$G:$G,$H$34), $K$1="(M)", COUNTIFS('Software Development BSRs (M)'!$I:$I,$H37,'Software Development BSRs (M)'!$G:$G,$H$34), $K$1="(H)", COUNTIFS('Software Development BSRs (H)'!$I:$I,$H37,'Software Development BSRs (H)'!$G:$G,$H$34))),0)</f>
        <v>0</v>
      </c>
      <c r="G37" s="123">
        <f>IF('General Information'!$F$56 ="Yes",(_xlfn.IFS($K$1="(L)",COUNTIFS('Autonomous Devices (L)'!$I:$I,$H37,'Autonomous Devices (L)'!$G:$G,$H$34), $K$1="(M)", COUNTIFS('Autonomous Devices (M)'!$I:$I,$H37,'Autonomous Devices (M)'!$G:$G,$H$34), $K$1="(H)", COUNTIFS('Autonomous Devices (H)'!$I:$I,$H37,'Autonomous Devices (H)'!$G:$G,$H$34))),0)</f>
        <v>0</v>
      </c>
      <c r="H37" s="93" t="s">
        <v>120</v>
      </c>
      <c r="I37" s="93">
        <f t="shared" si="1"/>
        <v>0</v>
      </c>
    </row>
    <row r="38" spans="1:9" x14ac:dyDescent="0.25">
      <c r="A38" s="123">
        <f>IF('General Information'!$F$50="Yes",(_xlfn.IFS($K$1="(L)",COUNTIFS('Server BSRs (L)'!$I:$I,$H38,'Server BSRs (L)'!$G:$G,$H$34), $K$1="(M)", COUNTIFS('Server BSRs (M)'!$I:$I,$H38,'Server BSRs (M)'!$G:$G,$H$34), $K$1="(H)", COUNTIFS('Server BSRs (H)'!$I:$I,$H38,'Server BSRs (H)'!$G:$G,$H$34))),0)</f>
        <v>0</v>
      </c>
      <c r="B38" s="123">
        <f>IF('General Information'!$F$51 ="Yes",(_xlfn.IFS($K$1="(L)",COUNTIFS('End User Devices BSRs (L)'!$I:$I,$H37,'End User Devices BSRs (L)'!$G:$G,$H$34), $K$1="(M)", COUNTIFS('End User Devices BSRs (M)'!$I:$I,$H37,'End User Devices BSRs (M)'!$G:$G,$H$34), $K$1="(H)", COUNTIFS('End User Devices BSRs (H)'!$I:$I,$H37,'End User Devices BSRs (H)'!$G:$G,$H$34))),0)</f>
        <v>0</v>
      </c>
      <c r="C38" s="123">
        <f>IF('General Information'!$F$52 ="Yes",(_xlfn.IFS($K$1="(L)",COUNTIFS('Application BSRs (L)'!$I:$I,$H38,'Application BSRs (L)'!$G:$G,$H$34), $K$1="(M)", COUNTIFS('Application BSRs (M)'!$I:$I,$H38,'Application BSRs (M)'!$G:$G,$H$34), $K$1="(H)", COUNTIFS('Application BSRs (H)'!$I:$I,$H38,'Application BSRs (H)'!$G:$G,$H$34))),0)</f>
        <v>0</v>
      </c>
      <c r="D38" s="123">
        <f>IF('General Information'!$F$53 ="Yes",(_xlfn.IFS($K$1="(L)",COUNTIFS('Saas - PaaS BSRs (L)'!$H:$H,$H38,'Saas - PaaS BSRs (L)'!$F:$F,$H$34), $K$1="(M)", COUNTIFS('Saas - PaaS BSRs (M)'!$H:$H,$H38,'Saas - PaaS BSRs (M)'!$F:$F,$H$34), $K$1="(H)", COUNTIFS('Saas - PaaS BSRs (H)'!$H:$H,$H38,'Saas - PaaS BSRs (H)'!$F:$F,$H$34))),0)</f>
        <v>0</v>
      </c>
      <c r="E38" s="123">
        <f>IF('General Information'!$F$54 ="Yes",(_xlfn.IFS($K$1="(L)",COUNTIFS('Network Security BSRs (L)'!$H:$H,$H38,'Network Security BSRs (L)'!$F:$F,$H$34), $K$1="(M)", COUNTIFS('Network Security BSRs (M)'!$H:$H,$H38,'Network Security BSRs (M)'!$F:$F,$H$34), $K$1="(H)", COUNTIFS('Network Security BSRs (H)'!$H:$H,$H38,'Network Security BSRs (H)'!$F:$F,$H$34))),0)</f>
        <v>0</v>
      </c>
      <c r="F38" s="123">
        <f>IF('General Information'!$F$55 ="Yes",(_xlfn.IFS($K$1="(L)",COUNTIFS('Software Development BSRs (L)'!$I:$I,$H38,'Software Development BSRs (L)'!$G:$G,$H$34), $K$1="(M)", COUNTIFS('Software Development BSRs (M)'!$I:$I,$H38,'Software Development BSRs (M)'!$G:$G,$H$34), $K$1="(H)", COUNTIFS('Software Development BSRs (H)'!$I:$I,$H38,'Software Development BSRs (H)'!$G:$G,$H$34))),0)</f>
        <v>0</v>
      </c>
      <c r="G38" s="123">
        <f>IF('General Information'!$F$56 ="Yes",(_xlfn.IFS($K$1="(L)",COUNTIFS('Autonomous Devices (L)'!$I:$I,$H38,'Autonomous Devices (L)'!$G:$G,$H$34), $K$1="(M)", COUNTIFS('Autonomous Devices (M)'!$I:$I,$H38,'Autonomous Devices (M)'!$G:$G,$H$34), $K$1="(H)", COUNTIFS('Autonomous Devices (H)'!$I:$I,$H38,'Autonomous Devices (H)'!$G:$G,$H$34))),0)</f>
        <v>0</v>
      </c>
      <c r="H38" s="93" t="s">
        <v>103</v>
      </c>
      <c r="I38" s="93">
        <f t="shared" si="1"/>
        <v>0</v>
      </c>
    </row>
    <row r="39" spans="1:9" x14ac:dyDescent="0.25">
      <c r="A39" s="123">
        <f>IF('General Information'!$F$50="Yes",(_xlfn.IFS($K$1="(L)",COUNTIFS('Server BSRs (L)'!$I:$I,$H39,'Server BSRs (L)'!$G:$G,$H$34), $K$1="(M)", COUNTIFS('Server BSRs (M)'!$I:$I,$H39,'Server BSRs (M)'!$G:$G,$H$34), $K$1="(H)", COUNTIFS('Server BSRs (H)'!$I:$I,$H39,'Server BSRs (H)'!$G:$G,$H$34))),0)</f>
        <v>0</v>
      </c>
      <c r="B39" s="123">
        <f>IF('General Information'!$F$51 ="Yes",(_xlfn.IFS($K$1="(L)",COUNTIFS('End User Devices BSRs (L)'!$I:$I,$H38,'End User Devices BSRs (L)'!$G:$G,$H$34), $K$1="(M)", COUNTIFS('End User Devices BSRs (M)'!$I:$I,$H38,'End User Devices BSRs (M)'!$G:$G,$H$34), $K$1="(H)", COUNTIFS('End User Devices BSRs (H)'!$I:$I,$H38,'End User Devices BSRs (H)'!$G:$G,$H$34))),0)</f>
        <v>0</v>
      </c>
      <c r="C39" s="123">
        <f>IF('General Information'!$F$52 ="Yes",(_xlfn.IFS($K$1="(L)",COUNTIFS('Application BSRs (L)'!$I:$I,$H39,'Application BSRs (L)'!$G:$G,$H$34), $K$1="(M)", COUNTIFS('Application BSRs (M)'!$I:$I,$H39,'Application BSRs (M)'!$G:$G,$H$34), $K$1="(H)", COUNTIFS('Application BSRs (H)'!$I:$I,$H39,'Application BSRs (H)'!$G:$G,$H$34))),0)</f>
        <v>0</v>
      </c>
      <c r="D39" s="123">
        <f>IF('General Information'!$F$53 ="Yes",(_xlfn.IFS($K$1="(L)",COUNTIFS('Saas - PaaS BSRs (L)'!$H:$H,$H39,'Saas - PaaS BSRs (L)'!$F:$F,$H$34), $K$1="(M)", COUNTIFS('Saas - PaaS BSRs (M)'!$H:$H,$H39,'Saas - PaaS BSRs (M)'!$F:$F,$H$34), $K$1="(H)", COUNTIFS('Saas - PaaS BSRs (H)'!$H:$H,$H39,'Saas - PaaS BSRs (H)'!$F:$F,$H$34))),0)</f>
        <v>0</v>
      </c>
      <c r="E39" s="123">
        <f>IF('General Information'!$F$54 ="Yes",(_xlfn.IFS($K$1="(L)",COUNTIFS('Network Security BSRs (L)'!$H:$H,$H39,'Network Security BSRs (L)'!$F:$F,$H$34), $K$1="(M)", COUNTIFS('Network Security BSRs (M)'!$H:$H,$H39,'Network Security BSRs (M)'!$F:$F,$H$34), $K$1="(H)", COUNTIFS('Network Security BSRs (H)'!$H:$H,$H39,'Network Security BSRs (H)'!$F:$F,$H$34))),0)</f>
        <v>0</v>
      </c>
      <c r="F39" s="123">
        <f>IF('General Information'!$F$55 ="Yes",(_xlfn.IFS($K$1="(L)",COUNTIFS('Software Development BSRs (L)'!$I:$I,$H39,'Software Development BSRs (L)'!$G:$G,$H$34), $K$1="(M)", COUNTIFS('Software Development BSRs (M)'!$I:$I,$H39,'Software Development BSRs (M)'!$G:$G,$H$34), $K$1="(H)", COUNTIFS('Software Development BSRs (H)'!$I:$I,$H39,'Software Development BSRs (H)'!$G:$G,$H$34))),0)</f>
        <v>0</v>
      </c>
      <c r="G39" s="123">
        <f>IF('General Information'!$F$56 ="Yes",(_xlfn.IFS($K$1="(L)",COUNTIFS('Autonomous Devices (L)'!$I:$I,$H39,'Autonomous Devices (L)'!$G:$G,$H$34), $K$1="(M)", COUNTIFS('Autonomous Devices (M)'!$I:$I,$H39,'Autonomous Devices (M)'!$G:$G,$H$34), $K$1="(H)", COUNTIFS('Autonomous Devices (H)'!$I:$I,$H39,'Autonomous Devices (H)'!$G:$G,$H$34))),0)</f>
        <v>0</v>
      </c>
      <c r="H39" s="93" t="s">
        <v>349</v>
      </c>
      <c r="I39" s="93">
        <f t="shared" si="1"/>
        <v>0</v>
      </c>
    </row>
    <row r="40" spans="1:9" x14ac:dyDescent="0.25">
      <c r="A40" s="123">
        <f>IF('General Information'!$F$50="Yes",(_xlfn.IFS($K$1="(L)",COUNTIFS('Server BSRs (L)'!$I:$I,$H40,'Server BSRs (L)'!$G:$G,$H$34), $K$1="(M)", COUNTIFS('Server BSRs (M)'!$I:$I,$H40,'Server BSRs (M)'!$G:$G,$H$34), $K$1="(H)", COUNTIFS('Server BSRs (H)'!$I:$I,$H40,'Server BSRs (H)'!$G:$G,$H$34))),0)</f>
        <v>0</v>
      </c>
      <c r="B40" s="123">
        <f>IF('General Information'!$F$51 ="Yes",(_xlfn.IFS($K$1="(L)",COUNTIFS('End User Devices BSRs (L)'!$I:$I,$H39,'End User Devices BSRs (L)'!$G:$G,$H$34), $K$1="(M)", COUNTIFS('End User Devices BSRs (M)'!$I:$I,$H39,'End User Devices BSRs (M)'!$G:$G,$H$34), $K$1="(H)", COUNTIFS('End User Devices BSRs (H)'!$I:$I,$H39,'End User Devices BSRs (H)'!$G:$G,$H$34))),0)</f>
        <v>0</v>
      </c>
      <c r="C40" s="123">
        <f>IF('General Information'!$F$52 ="Yes",(_xlfn.IFS($K$1="(L)",COUNTIFS('Application BSRs (L)'!$I:$I,$H40,'Application BSRs (L)'!$G:$G,$H$34), $K$1="(M)", COUNTIFS('Application BSRs (M)'!$I:$I,$H40,'Application BSRs (M)'!$G:$G,$H$34), $K$1="(H)", COUNTIFS('Application BSRs (H)'!$I:$I,$H40,'Application BSRs (H)'!$G:$G,$H$34))),0)</f>
        <v>0</v>
      </c>
      <c r="D40" s="123">
        <f>IF('General Information'!$F$53 ="Yes",(_xlfn.IFS($K$1="(L)",COUNTIFS('Saas - PaaS BSRs (L)'!$H:$H,$H40,'Saas - PaaS BSRs (L)'!$F:$F,$H$34), $K$1="(M)", COUNTIFS('Saas - PaaS BSRs (M)'!$H:$H,$H40,'Saas - PaaS BSRs (M)'!$F:$F,$H$34), $K$1="(H)", COUNTIFS('Saas - PaaS BSRs (H)'!$H:$H,$H40,'Saas - PaaS BSRs (H)'!$F:$F,$H$34))),0)</f>
        <v>0</v>
      </c>
      <c r="E40" s="123">
        <f>IF('General Information'!$F$54 ="Yes",(_xlfn.IFS($K$1="(L)",COUNTIFS('Network Security BSRs (L)'!$H:$H,$H40,'Network Security BSRs (L)'!$F:$F,$H$34), $K$1="(M)", COUNTIFS('Network Security BSRs (M)'!$H:$H,$H40,'Network Security BSRs (M)'!$F:$F,$H$34), $K$1="(H)", COUNTIFS('Network Security BSRs (H)'!$H:$H,$H40,'Network Security BSRs (H)'!$F:$F,$H$34))),0)</f>
        <v>0</v>
      </c>
      <c r="F40" s="123">
        <f>IF('General Information'!$F$55 ="Yes",(_xlfn.IFS($K$1="(L)",COUNTIFS('Software Development BSRs (L)'!$I:$I,$H40,'Software Development BSRs (L)'!$G:$G,$H$34), $K$1="(M)", COUNTIFS('Software Development BSRs (M)'!$I:$I,$H40,'Software Development BSRs (M)'!$G:$G,$H$34), $K$1="(H)", COUNTIFS('Software Development BSRs (H)'!$I:$I,$H40,'Software Development BSRs (H)'!$G:$G,$H$34))),0)</f>
        <v>0</v>
      </c>
      <c r="G40" s="123">
        <f>IF('General Information'!$F$56 ="Yes",(_xlfn.IFS($K$1="(L)",COUNTIFS('Autonomous Devices (L)'!$I:$I,$H40,'Autonomous Devices (L)'!$G:$G,$H$34), $K$1="(M)", COUNTIFS('Autonomous Devices (M)'!$I:$I,$H40,'Autonomous Devices (M)'!$G:$G,$H$34), $K$1="(H)", COUNTIFS('Autonomous Devices (H)'!$I:$I,$H40,'Autonomous Devices (H)'!$G:$G,$H$34))),0)</f>
        <v>0</v>
      </c>
      <c r="H40" s="93" t="s">
        <v>157</v>
      </c>
      <c r="I40" s="93">
        <f t="shared" si="1"/>
        <v>0</v>
      </c>
    </row>
    <row r="41" spans="1:9" x14ac:dyDescent="0.25">
      <c r="A41" s="123">
        <f>IF('General Information'!$F$50="Yes",(_xlfn.IFS($K$1="(L)",COUNTIFS('Server BSRs (L)'!$I:$I,$H41,'Server BSRs (L)'!$G:$G,$H$34), $K$1="(M)", COUNTIFS('Server BSRs (M)'!$I:$I,$H41,'Server BSRs (M)'!$G:$G,$H$34), $K$1="(H)", COUNTIFS('Server BSRs (H)'!$I:$I,$H41,'Server BSRs (H)'!$G:$G,$H$34))),0)</f>
        <v>0</v>
      </c>
      <c r="B41" s="123">
        <f>IF('General Information'!$F$51 ="Yes",(_xlfn.IFS($K$1="(L)",COUNTIFS('End User Devices BSRs (L)'!$I:$I,$H40,'End User Devices BSRs (L)'!$G:$G,$H$34), $K$1="(M)", COUNTIFS('End User Devices BSRs (M)'!$I:$I,$H40,'End User Devices BSRs (M)'!$G:$G,$H$34), $K$1="(H)", COUNTIFS('End User Devices BSRs (H)'!$I:$I,$H40,'End User Devices BSRs (H)'!$G:$G,$H$34))),0)</f>
        <v>0</v>
      </c>
      <c r="C41" s="123">
        <f>IF('General Information'!$F$52 ="Yes",(_xlfn.IFS($K$1="(L)",COUNTIFS('Application BSRs (L)'!$I:$I,$H41,'Application BSRs (L)'!$G:$G,$H$34), $K$1="(M)", COUNTIFS('Application BSRs (M)'!$I:$I,$H41,'Application BSRs (M)'!$G:$G,$H$34), $K$1="(H)", COUNTIFS('Application BSRs (H)'!$I:$I,$H41,'Application BSRs (H)'!$G:$G,$H$34))),0)</f>
        <v>0</v>
      </c>
      <c r="D41" s="123">
        <f>IF('General Information'!$F$53 ="Yes",(_xlfn.IFS($K$1="(L)",COUNTIFS('Saas - PaaS BSRs (L)'!$H:$H,$H41,'Saas - PaaS BSRs (L)'!$F:$F,$H$34), $K$1="(M)", COUNTIFS('Saas - PaaS BSRs (M)'!$H:$H,$H41,'Saas - PaaS BSRs (M)'!$F:$F,$H$34), $K$1="(H)", COUNTIFS('Saas - PaaS BSRs (H)'!$H:$H,$H41,'Saas - PaaS BSRs (H)'!$F:$F,$H$34))),0)</f>
        <v>0</v>
      </c>
      <c r="E41" s="123">
        <f>IF('General Information'!$F$54 ="Yes",(_xlfn.IFS($K$1="(L)",COUNTIFS('Network Security BSRs (L)'!$H:$H,$H41,'Network Security BSRs (L)'!$F:$F,$H$34), $K$1="(M)", COUNTIFS('Network Security BSRs (M)'!$H:$H,$H41,'Network Security BSRs (M)'!$F:$F,$H$34), $K$1="(H)", COUNTIFS('Network Security BSRs (H)'!$H:$H,$H41,'Network Security BSRs (H)'!$F:$F,$H$34))),0)</f>
        <v>0</v>
      </c>
      <c r="F41" s="123">
        <f>IF('General Information'!$F$55 ="Yes",(_xlfn.IFS($K$1="(L)",COUNTIFS('Software Development BSRs (L)'!$I:$I,$H41,'Software Development BSRs (L)'!$G:$G,$H$34), $K$1="(M)", COUNTIFS('Software Development BSRs (M)'!$I:$I,$H41,'Software Development BSRs (M)'!$G:$G,$H$34), $K$1="(H)", COUNTIFS('Software Development BSRs (H)'!$I:$I,$H41,'Software Development BSRs (H)'!$G:$G,$H$34))),0)</f>
        <v>0</v>
      </c>
      <c r="G41" s="123">
        <f>IF('General Information'!$F$56 ="Yes",(_xlfn.IFS($K$1="(L)",COUNTIFS('Autonomous Devices (L)'!$I:$I,$H41,'Autonomous Devices (L)'!$G:$G,$H$34), $K$1="(M)", COUNTIFS('Autonomous Devices (M)'!$I:$I,$H41,'Autonomous Devices (M)'!$G:$G,$H$34), $K$1="(H)", COUNTIFS('Autonomous Devices (H)'!$I:$I,$H41,'Autonomous Devices (H)'!$G:$G,$H$34))),0)</f>
        <v>0</v>
      </c>
      <c r="H41" s="93" t="s">
        <v>153</v>
      </c>
      <c r="I41" s="93">
        <f t="shared" si="1"/>
        <v>0</v>
      </c>
    </row>
    <row r="42" spans="1:9" x14ac:dyDescent="0.25">
      <c r="A42" s="123">
        <f>IF('General Information'!$F$50="Yes",(_xlfn.IFS($K$1="(L)",COUNTIFS('Server BSRs (L)'!$I:$I,$H42,'Server BSRs (L)'!$G:$G,$H$34), $K$1="(M)", COUNTIFS('Server BSRs (M)'!$I:$I,$H42,'Server BSRs (M)'!$G:$G,$H$34), $K$1="(H)", COUNTIFS('Server BSRs (H)'!$I:$I,$H42,'Server BSRs (H)'!$G:$G,$H$34))),0)</f>
        <v>0</v>
      </c>
      <c r="B42" s="123">
        <f>IF('General Information'!$F$51 ="Yes",(_xlfn.IFS($K$1="(L)",COUNTIFS('End User Devices BSRs (L)'!$I:$I,$H41,'End User Devices BSRs (L)'!$G:$G,$H$34), $K$1="(M)", COUNTIFS('End User Devices BSRs (M)'!$I:$I,$H41,'End User Devices BSRs (M)'!$G:$G,$H$34), $K$1="(H)", COUNTIFS('End User Devices BSRs (H)'!$I:$I,$H41,'End User Devices BSRs (H)'!$G:$G,$H$34))),0)</f>
        <v>0</v>
      </c>
      <c r="C42" s="123">
        <f>IF('General Information'!$F$52 ="Yes",(_xlfn.IFS($K$1="(L)",COUNTIFS('Application BSRs (L)'!$I:$I,$H42,'Application BSRs (L)'!$G:$G,$H$34), $K$1="(M)", COUNTIFS('Application BSRs (M)'!$I:$I,$H42,'Application BSRs (M)'!$G:$G,$H$34), $K$1="(H)", COUNTIFS('Application BSRs (H)'!$I:$I,$H42,'Application BSRs (H)'!$G:$G,$H$34))),0)</f>
        <v>0</v>
      </c>
      <c r="D42" s="123">
        <f>IF('General Information'!$F$53 ="Yes",(_xlfn.IFS($K$1="(L)",COUNTIFS('Saas - PaaS BSRs (L)'!$H:$H,$H42,'Saas - PaaS BSRs (L)'!$F:$F,$H$34), $K$1="(M)", COUNTIFS('Saas - PaaS BSRs (M)'!$H:$H,$H42,'Saas - PaaS BSRs (M)'!$F:$F,$H$34), $K$1="(H)", COUNTIFS('Saas - PaaS BSRs (H)'!$H:$H,$H42,'Saas - PaaS BSRs (H)'!$F:$F,$H$34))),0)</f>
        <v>0</v>
      </c>
      <c r="E42" s="123">
        <f>IF('General Information'!$F$54 ="Yes",(_xlfn.IFS($K$1="(L)",COUNTIFS('Network Security BSRs (L)'!$H:$H,$H42,'Network Security BSRs (L)'!$F:$F,$H$34), $K$1="(M)", COUNTIFS('Network Security BSRs (M)'!$H:$H,$H42,'Network Security BSRs (M)'!$F:$F,$H$34), $K$1="(H)", COUNTIFS('Network Security BSRs (H)'!$H:$H,$H42,'Network Security BSRs (H)'!$F:$F,$H$34))),0)</f>
        <v>0</v>
      </c>
      <c r="F42" s="123">
        <f>IF('General Information'!$F$55 ="Yes",(_xlfn.IFS($K$1="(L)",COUNTIFS('Software Development BSRs (L)'!$I:$I,$H42,'Software Development BSRs (L)'!$G:$G,$H$34), $K$1="(M)", COUNTIFS('Software Development BSRs (M)'!$I:$I,$H42,'Software Development BSRs (M)'!$G:$G,$H$34), $K$1="(H)", COUNTIFS('Software Development BSRs (H)'!$I:$I,$H42,'Software Development BSRs (H)'!$G:$G,$H$34))),0)</f>
        <v>0</v>
      </c>
      <c r="G42" s="123">
        <f>IF('General Information'!$F$56 ="Yes",(_xlfn.IFS($K$1="(L)",COUNTIFS('Autonomous Devices (L)'!$I:$I,$H42,'Autonomous Devices (L)'!$G:$G,$H$34), $K$1="(M)", COUNTIFS('Autonomous Devices (M)'!$I:$I,$H42,'Autonomous Devices (M)'!$G:$G,$H$34), $K$1="(H)", COUNTIFS('Autonomous Devices (H)'!$I:$I,$H42,'Autonomous Devices (H)'!$G:$G,$H$34))),0)</f>
        <v>0</v>
      </c>
      <c r="H42" s="93" t="s">
        <v>127</v>
      </c>
      <c r="I42" s="93">
        <f t="shared" si="1"/>
        <v>0</v>
      </c>
    </row>
    <row r="43" spans="1:9" x14ac:dyDescent="0.25">
      <c r="A43" s="123">
        <f>IF('General Information'!$F$50="Yes",(_xlfn.IFS($K$1="(L)",COUNTIFS('Server BSRs (L)'!$I:$I,$H43,'Server BSRs (L)'!$G:$G,$H$34), $K$1="(M)", COUNTIFS('Server BSRs (M)'!$I:$I,$H43,'Server BSRs (M)'!$G:$G,$H$34), $K$1="(H)", COUNTIFS('Server BSRs (H)'!$I:$I,$H43,'Server BSRs (H)'!$G:$G,$H$34))),0)</f>
        <v>0</v>
      </c>
      <c r="B43" s="123">
        <f>IF('General Information'!$F$51 ="Yes",(_xlfn.IFS($K$1="(L)",COUNTIFS('End User Devices BSRs (L)'!$I:$I,$H42,'End User Devices BSRs (L)'!$G:$G,$H$34), $K$1="(M)", COUNTIFS('End User Devices BSRs (M)'!$I:$I,$H42,'End User Devices BSRs (M)'!$G:$G,$H$34), $K$1="(H)", COUNTIFS('End User Devices BSRs (H)'!$I:$I,$H42,'End User Devices BSRs (H)'!$G:$G,$H$34))),0)</f>
        <v>0</v>
      </c>
      <c r="C43" s="123">
        <f>IF('General Information'!$F$52 ="Yes",(_xlfn.IFS($K$1="(L)",COUNTIFS('Application BSRs (L)'!$I:$I,$H43,'Application BSRs (L)'!$G:$G,$H$34), $K$1="(M)", COUNTIFS('Application BSRs (M)'!$I:$I,$H43,'Application BSRs (M)'!$G:$G,$H$34), $K$1="(H)", COUNTIFS('Application BSRs (H)'!$I:$I,$H43,'Application BSRs (H)'!$G:$G,$H$34))),0)</f>
        <v>0</v>
      </c>
      <c r="D43" s="123">
        <f>IF('General Information'!$F$53 ="Yes",(_xlfn.IFS($K$1="(L)",COUNTIFS('Saas - PaaS BSRs (L)'!$H:$H,$H43,'Saas - PaaS BSRs (L)'!$F:$F,$H$34), $K$1="(M)", COUNTIFS('Saas - PaaS BSRs (M)'!$H:$H,$H43,'Saas - PaaS BSRs (M)'!$F:$F,$H$34), $K$1="(H)", COUNTIFS('Saas - PaaS BSRs (H)'!$H:$H,$H43,'Saas - PaaS BSRs (H)'!$F:$F,$H$34))),0)</f>
        <v>0</v>
      </c>
      <c r="E43" s="123">
        <f>IF('General Information'!$F$54 ="Yes",(_xlfn.IFS($K$1="(L)",COUNTIFS('Network Security BSRs (L)'!$H:$H,$H43,'Network Security BSRs (L)'!$F:$F,$H$34), $K$1="(M)", COUNTIFS('Network Security BSRs (M)'!$H:$H,$H43,'Network Security BSRs (M)'!$F:$F,$H$34), $K$1="(H)", COUNTIFS('Network Security BSRs (H)'!$H:$H,$H43,'Network Security BSRs (H)'!$F:$F,$H$34))),0)</f>
        <v>0</v>
      </c>
      <c r="F43" s="123">
        <f>IF('General Information'!$F$55 ="Yes",(_xlfn.IFS($K$1="(L)",COUNTIFS('Software Development BSRs (L)'!$I:$I,$H43,'Software Development BSRs (L)'!$G:$G,$H$34), $K$1="(M)", COUNTIFS('Software Development BSRs (M)'!$I:$I,$H43,'Software Development BSRs (M)'!$G:$G,$H$34), $K$1="(H)", COUNTIFS('Software Development BSRs (H)'!$I:$I,$H43,'Software Development BSRs (H)'!$G:$G,$H$34))),0)</f>
        <v>0</v>
      </c>
      <c r="G43" s="123">
        <f>IF('General Information'!$F$56 ="Yes",(_xlfn.IFS($K$1="(L)",COUNTIFS('Autonomous Devices (L)'!$I:$I,$H43,'Autonomous Devices (L)'!$G:$G,$H$34), $K$1="(M)", COUNTIFS('Autonomous Devices (M)'!$I:$I,$H43,'Autonomous Devices (M)'!$G:$G,$H$34), $K$1="(H)", COUNTIFS('Autonomous Devices (H)'!$I:$I,$H43,'Autonomous Devices (H)'!$G:$G,$H$34))),0)</f>
        <v>0</v>
      </c>
      <c r="H43" s="93" t="s">
        <v>95</v>
      </c>
      <c r="I43" s="93">
        <f t="shared" si="1"/>
        <v>0</v>
      </c>
    </row>
    <row r="44" spans="1:9" x14ac:dyDescent="0.25">
      <c r="A44" s="123">
        <f>IF('General Information'!$F$50="Yes",(_xlfn.IFS($K$1="(L)",COUNTIFS('Server BSRs (L)'!$I:$I,$H44,'Server BSRs (L)'!$G:$G,$H$34), $K$1="(M)", COUNTIFS('Server BSRs (M)'!$I:$I,$H44,'Server BSRs (M)'!$G:$G,$H$34), $K$1="(H)", COUNTIFS('Server BSRs (H)'!$I:$I,$H44,'Server BSRs (H)'!$G:$G,$H$34))),0)</f>
        <v>0</v>
      </c>
      <c r="B44" s="123">
        <f>IF('General Information'!$F$51 ="Yes",(_xlfn.IFS($K$1="(L)",COUNTIFS('End User Devices BSRs (L)'!$I:$I,$H43,'End User Devices BSRs (L)'!$G:$G,$H$34), $K$1="(M)", COUNTIFS('End User Devices BSRs (M)'!$I:$I,$H43,'End User Devices BSRs (M)'!$G:$G,$H$34), $K$1="(H)", COUNTIFS('End User Devices BSRs (H)'!$I:$I,$H43,'End User Devices BSRs (H)'!$G:$G,$H$34))),0)</f>
        <v>0</v>
      </c>
      <c r="C44" s="123">
        <f>IF('General Information'!$F$52 ="Yes",(_xlfn.IFS($K$1="(L)",COUNTIFS('Application BSRs (L)'!$I:$I,$H44,'Application BSRs (L)'!$G:$G,$H$34), $K$1="(M)", COUNTIFS('Application BSRs (M)'!$I:$I,$H44,'Application BSRs (M)'!$G:$G,$H$34), $K$1="(H)", COUNTIFS('Application BSRs (H)'!$I:$I,$H44,'Application BSRs (H)'!$G:$G,$H$34))),0)</f>
        <v>0</v>
      </c>
      <c r="D44" s="123">
        <f>IF('General Information'!$F$53 ="Yes",(_xlfn.IFS($K$1="(L)",COUNTIFS('Saas - PaaS BSRs (L)'!$H:$H,$H44,'Saas - PaaS BSRs (L)'!$F:$F,$H$34), $K$1="(M)", COUNTIFS('Saas - PaaS BSRs (M)'!$H:$H,$H44,'Saas - PaaS BSRs (M)'!$F:$F,$H$34), $K$1="(H)", COUNTIFS('Saas - PaaS BSRs (H)'!$H:$H,$H44,'Saas - PaaS BSRs (H)'!$F:$F,$H$34))),0)</f>
        <v>0</v>
      </c>
      <c r="E44" s="123">
        <f>IF('General Information'!$F$54 ="Yes",(_xlfn.IFS($K$1="(L)",COUNTIFS('Network Security BSRs (L)'!$H:$H,$H44,'Network Security BSRs (L)'!$F:$F,$H$34), $K$1="(M)", COUNTIFS('Network Security BSRs (M)'!$H:$H,$H44,'Network Security BSRs (M)'!$F:$F,$H$34), $K$1="(H)", COUNTIFS('Network Security BSRs (H)'!$H:$H,$H44,'Network Security BSRs (H)'!$F:$F,$H$34))),0)</f>
        <v>0</v>
      </c>
      <c r="F44" s="123">
        <f>IF('General Information'!$F$55 ="Yes",(_xlfn.IFS($K$1="(L)",COUNTIFS('Software Development BSRs (L)'!$I:$I,$H44,'Software Development BSRs (L)'!$G:$G,$H$34), $K$1="(M)", COUNTIFS('Software Development BSRs (M)'!$I:$I,$H44,'Software Development BSRs (M)'!$G:$G,$H$34), $K$1="(H)", COUNTIFS('Software Development BSRs (H)'!$I:$I,$H44,'Software Development BSRs (H)'!$G:$G,$H$34))),0)</f>
        <v>0</v>
      </c>
      <c r="G44" s="123">
        <f>IF('General Information'!$F$56 ="Yes",(_xlfn.IFS($K$1="(L)",COUNTIFS('Autonomous Devices (L)'!$I:$I,$H44,'Autonomous Devices (L)'!$G:$G,$H$34), $K$1="(M)", COUNTIFS('Autonomous Devices (M)'!$I:$I,$H44,'Autonomous Devices (M)'!$G:$G,$H$34), $K$1="(H)", COUNTIFS('Autonomous Devices (H)'!$I:$I,$H44,'Autonomous Devices (H)'!$G:$G,$H$34))),0)</f>
        <v>0</v>
      </c>
      <c r="H44" s="93" t="s">
        <v>235</v>
      </c>
      <c r="I44" s="93">
        <f t="shared" si="1"/>
        <v>0</v>
      </c>
    </row>
    <row r="45" spans="1:9" x14ac:dyDescent="0.25">
      <c r="A45" s="123">
        <f>IF('General Information'!$F$50="Yes",(_xlfn.IFS($K$1="(L)",COUNTIFS('Server BSRs (L)'!$I:$I,$H45,'Server BSRs (L)'!$G:$G,$H$34), $K$1="(M)", COUNTIFS('Server BSRs (M)'!$I:$I,$H45,'Server BSRs (M)'!$G:$G,$H$34), $K$1="(H)", COUNTIFS('Server BSRs (H)'!$I:$I,$H45,'Server BSRs (H)'!$G:$G,$H$34))),0)</f>
        <v>0</v>
      </c>
      <c r="B45" s="123">
        <f>IF('General Information'!$F$51 ="Yes",(_xlfn.IFS($K$1="(L)",COUNTIFS('End User Devices BSRs (L)'!$I:$I,$H44,'End User Devices BSRs (L)'!$G:$G,$H$34), $K$1="(M)", COUNTIFS('End User Devices BSRs (M)'!$I:$I,$H44,'End User Devices BSRs (M)'!$G:$G,$H$34), $K$1="(H)", COUNTIFS('End User Devices BSRs (H)'!$I:$I,$H44,'End User Devices BSRs (H)'!$G:$G,$H$34))),0)</f>
        <v>0</v>
      </c>
      <c r="C45" s="123">
        <f>IF('General Information'!$F$52 ="Yes",(_xlfn.IFS($K$1="(L)",COUNTIFS('Application BSRs (L)'!$I:$I,$H45,'Application BSRs (L)'!$G:$G,$H$34), $K$1="(M)", COUNTIFS('Application BSRs (M)'!$I:$I,$H45,'Application BSRs (M)'!$G:$G,$H$34), $K$1="(H)", COUNTIFS('Application BSRs (H)'!$I:$I,$H45,'Application BSRs (H)'!$G:$G,$H$34))),0)</f>
        <v>0</v>
      </c>
      <c r="D45" s="123">
        <f>IF('General Information'!$F$53 ="Yes",(_xlfn.IFS($K$1="(L)",COUNTIFS('Saas - PaaS BSRs (L)'!$H:$H,$H45,'Saas - PaaS BSRs (L)'!$F:$F,$H$34), $K$1="(M)", COUNTIFS('Saas - PaaS BSRs (M)'!$H:$H,$H45,'Saas - PaaS BSRs (M)'!$F:$F,$H$34), $K$1="(H)", COUNTIFS('Saas - PaaS BSRs (H)'!$H:$H,$H45,'Saas - PaaS BSRs (H)'!$F:$F,$H$34))),0)</f>
        <v>0</v>
      </c>
      <c r="E45" s="123">
        <f>IF('General Information'!$F$54 ="Yes",(_xlfn.IFS($K$1="(L)",COUNTIFS('Network Security BSRs (L)'!$H:$H,$H45,'Network Security BSRs (L)'!$F:$F,$H$34), $K$1="(M)", COUNTIFS('Network Security BSRs (M)'!$H:$H,$H45,'Network Security BSRs (M)'!$F:$F,$H$34), $K$1="(H)", COUNTIFS('Network Security BSRs (H)'!$H:$H,$H45,'Network Security BSRs (H)'!$F:$F,$H$34))),0)</f>
        <v>0</v>
      </c>
      <c r="F45" s="123">
        <f>IF('General Information'!$F$55 ="Yes",(_xlfn.IFS($K$1="(L)",COUNTIFS('Software Development BSRs (L)'!$I:$I,$H45,'Software Development BSRs (L)'!$G:$G,$H$34), $K$1="(M)", COUNTIFS('Software Development BSRs (M)'!$I:$I,$H45,'Software Development BSRs (M)'!$G:$G,$H$34), $K$1="(H)", COUNTIFS('Software Development BSRs (H)'!$I:$I,$H45,'Software Development BSRs (H)'!$G:$G,$H$34))),0)</f>
        <v>0</v>
      </c>
      <c r="G45" s="123">
        <f>IF('General Information'!$F$56 ="Yes",(_xlfn.IFS($K$1="(L)",COUNTIFS('Autonomous Devices (L)'!$I:$I,$H45,'Autonomous Devices (L)'!$G:$G,$H$34), $K$1="(M)", COUNTIFS('Autonomous Devices (M)'!$I:$I,$H45,'Autonomous Devices (M)'!$G:$G,$H$34), $K$1="(H)", COUNTIFS('Autonomous Devices (H)'!$I:$I,$H45,'Autonomous Devices (H)'!$G:$G,$H$34))),0)</f>
        <v>0</v>
      </c>
      <c r="H45" s="93" t="s">
        <v>171</v>
      </c>
      <c r="I45" s="93">
        <f t="shared" si="1"/>
        <v>0</v>
      </c>
    </row>
    <row r="46" spans="1:9" x14ac:dyDescent="0.25">
      <c r="A46" s="123">
        <f>IF('General Information'!$F$50="Yes",(_xlfn.IFS($K$1="(L)",COUNTIFS('Server BSRs (L)'!$I:$I,$H46,'Server BSRs (L)'!$G:$G,$H$34), $K$1="(M)", COUNTIFS('Server BSRs (M)'!$I:$I,$H46,'Server BSRs (M)'!$G:$G,$H$34), $K$1="(H)", COUNTIFS('Server BSRs (H)'!$I:$I,$H46,'Server BSRs (H)'!$G:$G,$H$34))),0)</f>
        <v>0</v>
      </c>
      <c r="B46" s="123">
        <f>IF('General Information'!$F$51 ="Yes",(_xlfn.IFS($K$1="(L)",COUNTIFS('End User Devices BSRs (L)'!$I:$I,$H45,'End User Devices BSRs (L)'!$G:$G,$H$34), $K$1="(M)", COUNTIFS('End User Devices BSRs (M)'!$I:$I,$H45,'End User Devices BSRs (M)'!$G:$G,$H$34), $K$1="(H)", COUNTIFS('End User Devices BSRs (H)'!$I:$I,$H45,'End User Devices BSRs (H)'!$G:$G,$H$34))),0)</f>
        <v>0</v>
      </c>
      <c r="C46" s="123">
        <f>IF('General Information'!$F$52 ="Yes",(_xlfn.IFS($K$1="(L)",COUNTIFS('Application BSRs (L)'!$I:$I,$H46,'Application BSRs (L)'!$G:$G,$H$34), $K$1="(M)", COUNTIFS('Application BSRs (M)'!$I:$I,$H46,'Application BSRs (M)'!$G:$G,$H$34), $K$1="(H)", COUNTIFS('Application BSRs (H)'!$I:$I,$H46,'Application BSRs (H)'!$G:$G,$H$34))),0)</f>
        <v>0</v>
      </c>
      <c r="D46" s="123">
        <f>IF('General Information'!$F$53 ="Yes",(_xlfn.IFS($K$1="(L)",COUNTIFS('Saas - PaaS BSRs (L)'!$H:$H,$H46,'Saas - PaaS BSRs (L)'!$F:$F,$H$34), $K$1="(M)", COUNTIFS('Saas - PaaS BSRs (M)'!$H:$H,$H46,'Saas - PaaS BSRs (M)'!$F:$F,$H$34), $K$1="(H)", COUNTIFS('Saas - PaaS BSRs (H)'!$H:$H,$H46,'Saas - PaaS BSRs (H)'!$F:$F,$H$34))),0)</f>
        <v>0</v>
      </c>
      <c r="E46" s="123">
        <f>IF('General Information'!$F$54 ="Yes",(_xlfn.IFS($K$1="(L)",COUNTIFS('Network Security BSRs (L)'!$H:$H,$H46,'Network Security BSRs (L)'!$F:$F,$H$34), $K$1="(M)", COUNTIFS('Network Security BSRs (M)'!$H:$H,$H46,'Network Security BSRs (M)'!$F:$F,$H$34), $K$1="(H)", COUNTIFS('Network Security BSRs (H)'!$H:$H,$H46,'Network Security BSRs (H)'!$F:$F,$H$34))),0)</f>
        <v>0</v>
      </c>
      <c r="F46" s="123">
        <f>IF('General Information'!$F$55 ="Yes",(_xlfn.IFS($K$1="(L)",COUNTIFS('Software Development BSRs (L)'!$I:$I,$H46,'Software Development BSRs (L)'!$G:$G,$H$34), $K$1="(M)", COUNTIFS('Software Development BSRs (M)'!$I:$I,$H46,'Software Development BSRs (M)'!$G:$G,$H$34), $K$1="(H)", COUNTIFS('Software Development BSRs (H)'!$I:$I,$H46,'Software Development BSRs (H)'!$G:$G,$H$34))),0)</f>
        <v>0</v>
      </c>
      <c r="G46" s="123">
        <f>IF('General Information'!$F$56 ="Yes",(_xlfn.IFS($K$1="(L)",COUNTIFS('Autonomous Devices (L)'!$I:$I,$H46,'Autonomous Devices (L)'!$G:$G,$H$34), $K$1="(M)", COUNTIFS('Autonomous Devices (M)'!$I:$I,$H46,'Autonomous Devices (M)'!$G:$G,$H$34), $K$1="(H)", COUNTIFS('Autonomous Devices (H)'!$I:$I,$H46,'Autonomous Devices (H)'!$G:$G,$H$34))),0)</f>
        <v>0</v>
      </c>
      <c r="H46" s="93" t="s">
        <v>132</v>
      </c>
      <c r="I46" s="93">
        <f t="shared" si="1"/>
        <v>0</v>
      </c>
    </row>
    <row r="47" spans="1:9" x14ac:dyDescent="0.25">
      <c r="A47" s="123">
        <f>IF('General Information'!$F$50="Yes",(_xlfn.IFS($K$1="(L)",COUNTIFS('Server BSRs (L)'!$I:$I,$H47,'Server BSRs (L)'!$G:$G,$H$34), $K$1="(M)", COUNTIFS('Server BSRs (M)'!$I:$I,$H47,'Server BSRs (M)'!$G:$G,$H$34), $K$1="(H)", COUNTIFS('Server BSRs (H)'!$I:$I,$H47,'Server BSRs (H)'!$G:$G,$H$34))),0)</f>
        <v>0</v>
      </c>
      <c r="B47" s="123">
        <f>IF('General Information'!$F$51 ="Yes",(_xlfn.IFS($K$1="(L)",COUNTIFS('End User Devices BSRs (L)'!$I:$I,$H46,'End User Devices BSRs (L)'!$G:$G,$H$34), $K$1="(M)", COUNTIFS('End User Devices BSRs (M)'!$I:$I,$H46,'End User Devices BSRs (M)'!$G:$G,$H$34), $K$1="(H)", COUNTIFS('End User Devices BSRs (H)'!$I:$I,$H46,'End User Devices BSRs (H)'!$G:$G,$H$34))),0)</f>
        <v>0</v>
      </c>
      <c r="C47" s="123">
        <f>IF('General Information'!$F$52 ="Yes",(_xlfn.IFS($K$1="(L)",COUNTIFS('Application BSRs (L)'!$I:$I,$H47,'Application BSRs (L)'!$G:$G,$H$34), $K$1="(M)", COUNTIFS('Application BSRs (M)'!$I:$I,$H47,'Application BSRs (M)'!$G:$G,$H$34), $K$1="(H)", COUNTIFS('Application BSRs (H)'!$I:$I,$H47,'Application BSRs (H)'!$G:$G,$H$34))),0)</f>
        <v>0</v>
      </c>
      <c r="D47" s="123">
        <f>IF('General Information'!$F$53 ="Yes",(_xlfn.IFS($K$1="(L)",COUNTIFS('Saas - PaaS BSRs (L)'!$H:$H,$H47,'Saas - PaaS BSRs (L)'!$F:$F,$H$34), $K$1="(M)", COUNTIFS('Saas - PaaS BSRs (M)'!$H:$H,$H47,'Saas - PaaS BSRs (M)'!$F:$F,$H$34), $K$1="(H)", COUNTIFS('Saas - PaaS BSRs (H)'!$H:$H,$H47,'Saas - PaaS BSRs (H)'!$F:$F,$H$34))),0)</f>
        <v>0</v>
      </c>
      <c r="E47" s="123">
        <f>IF('General Information'!$F$54 ="Yes",(_xlfn.IFS($K$1="(L)",COUNTIFS('Network Security BSRs (L)'!$H:$H,$H47,'Network Security BSRs (L)'!$F:$F,$H$34), $K$1="(M)", COUNTIFS('Network Security BSRs (M)'!$H:$H,$H47,'Network Security BSRs (M)'!$F:$F,$H$34), $K$1="(H)", COUNTIFS('Network Security BSRs (H)'!$H:$H,$H47,'Network Security BSRs (H)'!$F:$F,$H$34))),0)</f>
        <v>0</v>
      </c>
      <c r="F47" s="123">
        <f>IF('General Information'!$F$55 ="Yes",(_xlfn.IFS($K$1="(L)",COUNTIFS('Software Development BSRs (L)'!$I:$I,$H47,'Software Development BSRs (L)'!$G:$G,$H$34), $K$1="(M)", COUNTIFS('Software Development BSRs (M)'!$I:$I,$H47,'Software Development BSRs (M)'!$G:$G,$H$34), $K$1="(H)", COUNTIFS('Software Development BSRs (H)'!$I:$I,$H47,'Software Development BSRs (H)'!$G:$G,$H$34))),0)</f>
        <v>0</v>
      </c>
      <c r="G47" s="123">
        <f>IF('General Information'!$F$56 ="Yes",(_xlfn.IFS($K$1="(L)",COUNTIFS('Autonomous Devices (L)'!$I:$I,$H47,'Autonomous Devices (L)'!$G:$G,$H$34), $K$1="(M)", COUNTIFS('Autonomous Devices (M)'!$I:$I,$H47,'Autonomous Devices (M)'!$G:$G,$H$34), $K$1="(H)", COUNTIFS('Autonomous Devices (H)'!$I:$I,$H47,'Autonomous Devices (H)'!$G:$G,$H$34))),0)</f>
        <v>0</v>
      </c>
      <c r="H47" s="93" t="s">
        <v>230</v>
      </c>
      <c r="I47" s="93">
        <f t="shared" si="1"/>
        <v>0</v>
      </c>
    </row>
    <row r="48" spans="1:9" x14ac:dyDescent="0.25">
      <c r="A48" s="93"/>
      <c r="B48" s="123">
        <f>IF('General Information'!$F$51 ="Yes",(_xlfn.IFS($K$1="(L)",COUNTIFS('End User Devices BSRs (L)'!$I:$I,$H47,'End User Devices BSRs (L)'!$G:$G,$H$34), $K$1="(M)", COUNTIFS('End User Devices BSRs (M)'!$I:$I,$H47,'End User Devices BSRs (M)'!$G:$G,$H$34), $K$1="(H)", COUNTIFS('End User Devices BSRs (H)'!$I:$I,$H47,'End User Devices BSRs (H)'!$G:$G,$H$34))),0)</f>
        <v>0</v>
      </c>
      <c r="C48" s="93"/>
      <c r="D48" s="93"/>
      <c r="E48" s="93"/>
      <c r="F48" s="93"/>
      <c r="H48" s="93"/>
      <c r="I48" s="93"/>
    </row>
    <row r="49" spans="1:9" s="93" customFormat="1" x14ac:dyDescent="0.25">
      <c r="A49" s="93" t="s">
        <v>366</v>
      </c>
    </row>
    <row r="50" spans="1:9" s="123" customFormat="1" x14ac:dyDescent="0.25">
      <c r="A50" s="123" t="s">
        <v>358</v>
      </c>
      <c r="B50" s="93"/>
      <c r="C50" s="123" t="s">
        <v>359</v>
      </c>
      <c r="D50" s="123" t="s">
        <v>360</v>
      </c>
      <c r="E50" s="123" t="s">
        <v>361</v>
      </c>
      <c r="F50" s="123" t="s">
        <v>362</v>
      </c>
      <c r="G50" s="123" t="s">
        <v>363</v>
      </c>
      <c r="H50" s="124" t="s">
        <v>87</v>
      </c>
    </row>
    <row r="51" spans="1:9" x14ac:dyDescent="0.25">
      <c r="A51" s="123">
        <f>IF('General Information'!$F$50 ="Yes",(_xlfn.IFS($K$1="(L)",COUNTIFS('Server BSRs (L)'!$I:$I,$H51,'Server BSRs (L)'!$G:$G,$H$50), $K$1="(M)", COUNTIFS('Server BSRs (M)'!$I:$I,$H51,'Server BSRs (M)'!$G:$G,$H$50), $K$1="(H)", COUNTIFS('Server BSRs (H)'!$I:$I,$H51,'Server BSRs (H)'!$G:$G,$H$50))),0)</f>
        <v>0</v>
      </c>
      <c r="B51" s="123" t="s">
        <v>364</v>
      </c>
      <c r="C51" s="123">
        <f>IF('General Information'!$F$52 ="Yes",(_xlfn.IFS($K$1="(L)",COUNTIFS('Application BSRs (L)'!$I:$I,$H51,'Application BSRs (L)'!$G:$G,$H$50), $K$1="(M)", COUNTIFS('Application BSRs (M)'!$I:$I,$H51,'Application BSRs (M)'!$G:$G,$H$50), $K$1="(H)", COUNTIFS('Application BSRs (H)'!$I:$I,$H51,'Application BSRs (H)'!$G:$G,$H$50))),0)</f>
        <v>0</v>
      </c>
      <c r="D51" s="123">
        <f>IF('General Information'!$F$53 ="Yes",(_xlfn.IFS($K$1="(L)",COUNTIFS('Saas - PaaS BSRs (L)'!$H:$H,$H51,'Saas - PaaS BSRs (L)'!$F:$F,$H$50), $K$1="(M)", COUNTIFS('Saas - PaaS BSRs (M)'!$H:$H,$H51,'Saas - PaaS BSRs (M)'!$F:$F,$H$50), $K$1="(H)", COUNTIFS('Saas - PaaS BSRs (H)'!$H:$H,$H51,'Saas - PaaS BSRs (H)'!$F:$F,$H$50))),0)</f>
        <v>0</v>
      </c>
      <c r="E51" s="123">
        <f>IF('General Information'!$F$54 ="Yes",(_xlfn.IFS($K$1="(L)",COUNTIFS('Network Security BSRs (L)'!$H:$H,$H51,'Network Security BSRs (L)'!$F:$F,$H$50), $K$1="(M)", COUNTIFS('Network Security BSRs (M)'!$H:$H,$H51,'Network Security BSRs (M)'!$F:$F,$H$50), $K$1="(H)", COUNTIFS('Network Security BSRs (H)'!$H:$H,$H51,'Network Security BSRs (H)'!$F:$F,$H$50))),0)</f>
        <v>0</v>
      </c>
      <c r="F51" s="123">
        <f>IF('General Information'!$F$55 ="Yes",(_xlfn.IFS($K$1="(L)",COUNTIFS('Software Development BSRs (L)'!$I:$I,$H51,'Software Development BSRs (L)'!$G:$G,$H$50), $K$1="(M)", COUNTIFS('Software Development BSRs (M)'!$I:$I,$H51,'Software Development BSRs (M)'!$G:$G,$H$50), $K$1="(H)", COUNTIFS('Software Development BSRs (H)'!$I:$I,$H51,'Software Development BSRs (H)'!$G:$G,$H$50))),0)</f>
        <v>0</v>
      </c>
      <c r="G51" s="123">
        <f>IF('General Information'!$F$56 ="Yes",(_xlfn.IFS($K$1="(L)",COUNTIFS('Autonomous Devices (L)'!$I:$I,$H51,'Autonomous Devices (L)'!$G:$G,$H$50), $K$1="(M)", COUNTIFS('Autonomous Devices (M)'!$I:$I,$H51,'Autonomous Devices (M)'!$G:$G,$H$50), $K$1="(H)", COUNTIFS('Autonomous Devices (H)'!$I:$I,$H51,'Autonomous Devices (H)'!$G:$G,$H$50))),0)</f>
        <v>0</v>
      </c>
      <c r="H51" s="93" t="s">
        <v>189</v>
      </c>
      <c r="I51" s="93">
        <f t="shared" ref="I51:I63" si="2">SUM(A51:G51)</f>
        <v>0</v>
      </c>
    </row>
    <row r="52" spans="1:9" x14ac:dyDescent="0.25">
      <c r="A52" s="123">
        <f>IF('General Information'!$F$50 ="Yes",(_xlfn.IFS($K$1="(L)",COUNTIFS('Server BSRs (L)'!$I:$I,$H52,'Server BSRs (L)'!$G:$G,$H$50), $K$1="(M)", COUNTIFS('Server BSRs (M)'!$I:$I,$H52,'Server BSRs (M)'!$G:$G,$H$50), $K$1="(H)", COUNTIFS('Server BSRs (H)'!$I:$I,$H52,'Server BSRs (H)'!$G:$G,$H$50))),0)</f>
        <v>0</v>
      </c>
      <c r="B52" s="123">
        <f>IF('General Information'!$F$51 ="Yes",(_xlfn.IFS($K$1="(L)",COUNTIFS('End User Devices BSRs (L)'!$I:$I,$H51,'End User Devices BSRs (L)'!$G:$G,$H$50), $K$1="(M)", COUNTIFS('End User Devices BSRs (M)'!$I:$I,$H51,'End User Devices BSRs (M)'!$G:$G,$H$50), $K$1="(H)", COUNTIFS('End User Devices BSRs (H)'!$I:$I,$H51,'End User Devices BSRs (H)'!$G:$G,$H$50))),0)</f>
        <v>0</v>
      </c>
      <c r="C52" s="123">
        <f>IF('General Information'!$F$52 ="Yes",(_xlfn.IFS($K$1="(L)",COUNTIFS('Application BSRs (L)'!$I:$I,$H52,'Application BSRs (L)'!$G:$G,$H$50), $K$1="(M)", COUNTIFS('Application BSRs (M)'!$I:$I,$H52,'Application BSRs (M)'!$G:$G,$H$50), $K$1="(H)", COUNTIFS('Application BSRs (H)'!$I:$I,$H52,'Application BSRs (H)'!$G:$G,$H$50))),0)</f>
        <v>0</v>
      </c>
      <c r="D52" s="123">
        <f>IF('General Information'!$F$53 ="Yes",(_xlfn.IFS($K$1="(L)",COUNTIFS('Saas - PaaS BSRs (L)'!$H:$H,$H52,'Saas - PaaS BSRs (L)'!$F:$F,$H$50), $K$1="(M)", COUNTIFS('Saas - PaaS BSRs (M)'!$H:$H,$H52,'Saas - PaaS BSRs (M)'!$F:$F,$H$50), $K$1="(H)", COUNTIFS('Saas - PaaS BSRs (H)'!$H:$H,$H52,'Saas - PaaS BSRs (H)'!$F:$F,$H$50))),0)</f>
        <v>0</v>
      </c>
      <c r="E52" s="123">
        <f>IF('General Information'!$F$54 ="Yes",(_xlfn.IFS($K$1="(L)",COUNTIFS('Network Security BSRs (L)'!$H:$H,$H52,'Network Security BSRs (L)'!$F:$F,$H$50), $K$1="(M)", COUNTIFS('Network Security BSRs (M)'!$H:$H,$H52,'Network Security BSRs (M)'!$F:$F,$H$50), $K$1="(H)", COUNTIFS('Network Security BSRs (H)'!$H:$H,$H52,'Network Security BSRs (H)'!$F:$F,$H$50))),0)</f>
        <v>0</v>
      </c>
      <c r="F52" s="123">
        <f>IF('General Information'!$F$55 ="Yes",(_xlfn.IFS($K$1="(L)",COUNTIFS('Software Development BSRs (L)'!$I:$I,$H52,'Software Development BSRs (L)'!$G:$G,$H$50), $K$1="(M)", COUNTIFS('Software Development BSRs (M)'!$I:$I,$H52,'Software Development BSRs (M)'!$G:$G,$H$50), $K$1="(H)", COUNTIFS('Software Development BSRs (H)'!$I:$I,$H52,'Software Development BSRs (H)'!$G:$G,$H$50))),0)</f>
        <v>0</v>
      </c>
      <c r="G52" s="123">
        <f>IF('General Information'!$F$56 ="Yes",(_xlfn.IFS($K$1="(L)",COUNTIFS('Autonomous Devices (L)'!$I:$I,$H52,'Autonomous Devices (L)'!$G:$G,$H$50), $K$1="(M)", COUNTIFS('Autonomous Devices (M)'!$I:$I,$H52,'Autonomous Devices (M)'!$G:$G,$H$50), $K$1="(H)", COUNTIFS('Autonomous Devices (H)'!$I:$I,$H52,'Autonomous Devices (H)'!$G:$G,$H$50))),0)</f>
        <v>0</v>
      </c>
      <c r="H52" s="93" t="s">
        <v>84</v>
      </c>
      <c r="I52" s="93">
        <f t="shared" si="2"/>
        <v>0</v>
      </c>
    </row>
    <row r="53" spans="1:9" x14ac:dyDescent="0.25">
      <c r="A53" s="123">
        <f>IF('General Information'!$F$50 ="Yes",(_xlfn.IFS($K$1="(L)",COUNTIFS('Server BSRs (L)'!$I:$I,$H53,'Server BSRs (L)'!$G:$G,$H$50), $K$1="(M)", COUNTIFS('Server BSRs (M)'!$I:$I,$H53,'Server BSRs (M)'!$G:$G,$H$50), $K$1="(H)", COUNTIFS('Server BSRs (H)'!$I:$I,$H53,'Server BSRs (H)'!$G:$G,$H$50))),0)</f>
        <v>0</v>
      </c>
      <c r="B53" s="123">
        <f>IF('General Information'!$F$51 ="Yes",(_xlfn.IFS($K$1="(L)",COUNTIFS('End User Devices BSRs (L)'!$I:$I,$H52,'End User Devices BSRs (L)'!$G:$G,$H$50), $K$1="(M)", COUNTIFS('End User Devices BSRs (M)'!$I:$I,$H52,'End User Devices BSRs (M)'!$G:$G,$H$50), $K$1="(H)", COUNTIFS('End User Devices BSRs (H)'!$I:$I,$H52,'End User Devices BSRs (H)'!$G:$G,$H$50))),0)</f>
        <v>0</v>
      </c>
      <c r="C53" s="123">
        <f>IF('General Information'!$F$52 ="Yes",(_xlfn.IFS($K$1="(L)",COUNTIFS('Application BSRs (L)'!$I:$I,$H53,'Application BSRs (L)'!$G:$G,$H$50), $K$1="(M)", COUNTIFS('Application BSRs (M)'!$I:$I,$H53,'Application BSRs (M)'!$G:$G,$H$50), $K$1="(H)", COUNTIFS('Application BSRs (H)'!$I:$I,$H53,'Application BSRs (H)'!$G:$G,$H$50))),0)</f>
        <v>0</v>
      </c>
      <c r="D53" s="123">
        <f>IF('General Information'!$F$53 ="Yes",(_xlfn.IFS($K$1="(L)",COUNTIFS('Saas - PaaS BSRs (L)'!$H:$H,$H53,'Saas - PaaS BSRs (L)'!$F:$F,$H$50), $K$1="(M)", COUNTIFS('Saas - PaaS BSRs (M)'!$H:$H,$H53,'Saas - PaaS BSRs (M)'!$F:$F,$H$50), $K$1="(H)", COUNTIFS('Saas - PaaS BSRs (H)'!$H:$H,$H53,'Saas - PaaS BSRs (H)'!$F:$F,$H$50))),0)</f>
        <v>0</v>
      </c>
      <c r="E53" s="123">
        <f>IF('General Information'!$F$54 ="Yes",(_xlfn.IFS($K$1="(L)",COUNTIFS('Network Security BSRs (L)'!$H:$H,$H53,'Network Security BSRs (L)'!$F:$F,$H$50), $K$1="(M)", COUNTIFS('Network Security BSRs (M)'!$H:$H,$H53,'Network Security BSRs (M)'!$F:$F,$H$50), $K$1="(H)", COUNTIFS('Network Security BSRs (H)'!$H:$H,$H53,'Network Security BSRs (H)'!$F:$F,$H$50))),0)</f>
        <v>0</v>
      </c>
      <c r="F53" s="123">
        <f>IF('General Information'!$F$55 ="Yes",(_xlfn.IFS($K$1="(L)",COUNTIFS('Software Development BSRs (L)'!$I:$I,$H53,'Software Development BSRs (L)'!$G:$G,$H$50), $K$1="(M)", COUNTIFS('Software Development BSRs (M)'!$I:$I,$H53,'Software Development BSRs (M)'!$G:$G,$H$50), $K$1="(H)", COUNTIFS('Software Development BSRs (H)'!$I:$I,$H53,'Software Development BSRs (H)'!$G:$G,$H$50))),0)</f>
        <v>0</v>
      </c>
      <c r="G53" s="123">
        <f>IF('General Information'!$F$56 ="Yes",(_xlfn.IFS($K$1="(L)",COUNTIFS('Autonomous Devices (L)'!$I:$I,$H53,'Autonomous Devices (L)'!$G:$G,$H$50), $K$1="(M)", COUNTIFS('Autonomous Devices (M)'!$I:$I,$H53,'Autonomous Devices (M)'!$G:$G,$H$50), $K$1="(H)", COUNTIFS('Autonomous Devices (H)'!$I:$I,$H53,'Autonomous Devices (H)'!$G:$G,$H$50))),0)</f>
        <v>0</v>
      </c>
      <c r="H53" s="93" t="s">
        <v>120</v>
      </c>
      <c r="I53" s="93">
        <f t="shared" si="2"/>
        <v>0</v>
      </c>
    </row>
    <row r="54" spans="1:9" x14ac:dyDescent="0.25">
      <c r="A54" s="123">
        <f>IF('General Information'!$F$50 ="Yes",(_xlfn.IFS($K$1="(L)",COUNTIFS('Server BSRs (L)'!$I:$I,$H54,'Server BSRs (L)'!$G:$G,$H$50), $K$1="(M)", COUNTIFS('Server BSRs (M)'!$I:$I,$H54,'Server BSRs (M)'!$G:$G,$H$50), $K$1="(H)", COUNTIFS('Server BSRs (H)'!$I:$I,$H54,'Server BSRs (H)'!$G:$G,$H$50))),0)</f>
        <v>0</v>
      </c>
      <c r="B54" s="123">
        <f>IF('General Information'!$F$51 ="Yes",(_xlfn.IFS($K$1="(L)",COUNTIFS('End User Devices BSRs (L)'!$I:$I,$H53,'End User Devices BSRs (L)'!$G:$G,$H$50), $K$1="(M)", COUNTIFS('End User Devices BSRs (M)'!$I:$I,$H53,'End User Devices BSRs (M)'!$G:$G,$H$50), $K$1="(H)", COUNTIFS('End User Devices BSRs (H)'!$I:$I,$H53,'End User Devices BSRs (H)'!$G:$G,$H$50))),0)</f>
        <v>0</v>
      </c>
      <c r="C54" s="123">
        <f>IF('General Information'!$F$52 ="Yes",(_xlfn.IFS($K$1="(L)",COUNTIFS('Application BSRs (L)'!$I:$I,$H54,'Application BSRs (L)'!$G:$G,$H$50), $K$1="(M)", COUNTIFS('Application BSRs (M)'!$I:$I,$H54,'Application BSRs (M)'!$G:$G,$H$50), $K$1="(H)", COUNTIFS('Application BSRs (H)'!$I:$I,$H54,'Application BSRs (H)'!$G:$G,$H$50))),0)</f>
        <v>0</v>
      </c>
      <c r="D54" s="123">
        <f>IF('General Information'!$F$53 ="Yes",(_xlfn.IFS($K$1="(L)",COUNTIFS('Saas - PaaS BSRs (L)'!$H:$H,$H54,'Saas - PaaS BSRs (L)'!$F:$F,$H$50), $K$1="(M)", COUNTIFS('Saas - PaaS BSRs (M)'!$H:$H,$H54,'Saas - PaaS BSRs (M)'!$F:$F,$H$50), $K$1="(H)", COUNTIFS('Saas - PaaS BSRs (H)'!$H:$H,$H54,'Saas - PaaS BSRs (H)'!$F:$F,$H$50))),0)</f>
        <v>0</v>
      </c>
      <c r="E54" s="123">
        <f>IF('General Information'!$F$54 ="Yes",(_xlfn.IFS($K$1="(L)",COUNTIFS('Network Security BSRs (L)'!$H:$H,$H54,'Network Security BSRs (L)'!$F:$F,$H$50), $K$1="(M)", COUNTIFS('Network Security BSRs (M)'!$H:$H,$H54,'Network Security BSRs (M)'!$F:$F,$H$50), $K$1="(H)", COUNTIFS('Network Security BSRs (H)'!$H:$H,$H54,'Network Security BSRs (H)'!$F:$F,$H$50))),0)</f>
        <v>0</v>
      </c>
      <c r="F54" s="123">
        <f>IF('General Information'!$F$55 ="Yes",(_xlfn.IFS($K$1="(L)",COUNTIFS('Software Development BSRs (L)'!$I:$I,$H54,'Software Development BSRs (L)'!$G:$G,$H$50), $K$1="(M)", COUNTIFS('Software Development BSRs (M)'!$I:$I,$H54,'Software Development BSRs (M)'!$G:$G,$H$50), $K$1="(H)", COUNTIFS('Software Development BSRs (H)'!$I:$I,$H54,'Software Development BSRs (H)'!$G:$G,$H$50))),0)</f>
        <v>0</v>
      </c>
      <c r="G54" s="123">
        <f>IF('General Information'!$F$56 ="Yes",(_xlfn.IFS($K$1="(L)",COUNTIFS('Autonomous Devices (L)'!$I:$I,$H54,'Autonomous Devices (L)'!$G:$G,$H$50), $K$1="(M)", COUNTIFS('Autonomous Devices (M)'!$I:$I,$H54,'Autonomous Devices (M)'!$G:$G,$H$50), $K$1="(H)", COUNTIFS('Autonomous Devices (H)'!$I:$I,$H54,'Autonomous Devices (H)'!$G:$G,$H$50))),0)</f>
        <v>0</v>
      </c>
      <c r="H54" s="93" t="s">
        <v>103</v>
      </c>
      <c r="I54" s="93">
        <f t="shared" si="2"/>
        <v>0</v>
      </c>
    </row>
    <row r="55" spans="1:9" x14ac:dyDescent="0.25">
      <c r="A55" s="123">
        <f>IF('General Information'!$F$50 ="Yes",(_xlfn.IFS($K$1="(L)",COUNTIFS('Server BSRs (L)'!$I:$I,$H55,'Server BSRs (L)'!$G:$G,$H$50), $K$1="(M)", COUNTIFS('Server BSRs (M)'!$I:$I,$H55,'Server BSRs (M)'!$G:$G,$H$50), $K$1="(H)", COUNTIFS('Server BSRs (H)'!$I:$I,$H55,'Server BSRs (H)'!$G:$G,$H$50))),0)</f>
        <v>0</v>
      </c>
      <c r="B55" s="123">
        <f>IF('General Information'!$F$51 ="Yes",(_xlfn.IFS($K$1="(L)",COUNTIFS('End User Devices BSRs (L)'!$I:$I,$H54,'End User Devices BSRs (L)'!$G:$G,$H$50), $K$1="(M)", COUNTIFS('End User Devices BSRs (M)'!$I:$I,$H54,'End User Devices BSRs (M)'!$G:$G,$H$50), $K$1="(H)", COUNTIFS('End User Devices BSRs (H)'!$I:$I,$H54,'End User Devices BSRs (H)'!$G:$G,$H$50))),0)</f>
        <v>0</v>
      </c>
      <c r="C55" s="123">
        <f>IF('General Information'!$F$52 ="Yes",(_xlfn.IFS($K$1="(L)",COUNTIFS('Application BSRs (L)'!$I:$I,$H55,'Application BSRs (L)'!$G:$G,$H$50), $K$1="(M)", COUNTIFS('Application BSRs (M)'!$I:$I,$H55,'Application BSRs (M)'!$G:$G,$H$50), $K$1="(H)", COUNTIFS('Application BSRs (H)'!$I:$I,$H55,'Application BSRs (H)'!$G:$G,$H$50))),0)</f>
        <v>0</v>
      </c>
      <c r="D55" s="123">
        <f>IF('General Information'!$F$53 ="Yes",(_xlfn.IFS($K$1="(L)",COUNTIFS('Saas - PaaS BSRs (L)'!$H:$H,$H55,'Saas - PaaS BSRs (L)'!$F:$F,$H$50), $K$1="(M)", COUNTIFS('Saas - PaaS BSRs (M)'!$H:$H,$H55,'Saas - PaaS BSRs (M)'!$F:$F,$H$50), $K$1="(H)", COUNTIFS('Saas - PaaS BSRs (H)'!$H:$H,$H55,'Saas - PaaS BSRs (H)'!$F:$F,$H$50))),0)</f>
        <v>0</v>
      </c>
      <c r="E55" s="123">
        <f>IF('General Information'!$F$54 ="Yes",(_xlfn.IFS($K$1="(L)",COUNTIFS('Network Security BSRs (L)'!$H:$H,$H55,'Network Security BSRs (L)'!$F:$F,$H$50), $K$1="(M)", COUNTIFS('Network Security BSRs (M)'!$H:$H,$H55,'Network Security BSRs (M)'!$F:$F,$H$50), $K$1="(H)", COUNTIFS('Network Security BSRs (H)'!$H:$H,$H55,'Network Security BSRs (H)'!$F:$F,$H$50))),0)</f>
        <v>0</v>
      </c>
      <c r="F55" s="123">
        <f>IF('General Information'!$F$55 ="Yes",(_xlfn.IFS($K$1="(L)",COUNTIFS('Software Development BSRs (L)'!$I:$I,$H55,'Software Development BSRs (L)'!$G:$G,$H$50), $K$1="(M)", COUNTIFS('Software Development BSRs (M)'!$I:$I,$H55,'Software Development BSRs (M)'!$G:$G,$H$50), $K$1="(H)", COUNTIFS('Software Development BSRs (H)'!$I:$I,$H55,'Software Development BSRs (H)'!$G:$G,$H$50))),0)</f>
        <v>0</v>
      </c>
      <c r="G55" s="123">
        <f>IF('General Information'!$F$56 ="Yes",(_xlfn.IFS($K$1="(L)",COUNTIFS('Autonomous Devices (L)'!$I:$I,$H55,'Autonomous Devices (L)'!$G:$G,$H$50), $K$1="(M)", COUNTIFS('Autonomous Devices (M)'!$I:$I,$H55,'Autonomous Devices (M)'!$G:$G,$H$50), $K$1="(H)", COUNTIFS('Autonomous Devices (H)'!$I:$I,$H55,'Autonomous Devices (H)'!$G:$G,$H$50))),0)</f>
        <v>0</v>
      </c>
      <c r="H55" s="93" t="s">
        <v>349</v>
      </c>
      <c r="I55" s="93">
        <f t="shared" si="2"/>
        <v>0</v>
      </c>
    </row>
    <row r="56" spans="1:9" x14ac:dyDescent="0.25">
      <c r="A56" s="123">
        <f>IF('General Information'!$F$50 ="Yes",(_xlfn.IFS($K$1="(L)",COUNTIFS('Server BSRs (L)'!$I:$I,$H56,'Server BSRs (L)'!$G:$G,$H$50), $K$1="(M)", COUNTIFS('Server BSRs (M)'!$I:$I,$H56,'Server BSRs (M)'!$G:$G,$H$50), $K$1="(H)", COUNTIFS('Server BSRs (H)'!$I:$I,$H56,'Server BSRs (H)'!$G:$G,$H$50))),0)</f>
        <v>0</v>
      </c>
      <c r="B56" s="123">
        <f>IF('General Information'!$F$51 ="Yes",(_xlfn.IFS($K$1="(L)",COUNTIFS('End User Devices BSRs (L)'!$I:$I,$H55,'End User Devices BSRs (L)'!$G:$G,$H$50), $K$1="(M)", COUNTIFS('End User Devices BSRs (M)'!$I:$I,$H55,'End User Devices BSRs (M)'!$G:$G,$H$50), $K$1="(H)", COUNTIFS('End User Devices BSRs (H)'!$I:$I,$H55,'End User Devices BSRs (H)'!$G:$G,$H$50))),0)</f>
        <v>0</v>
      </c>
      <c r="C56" s="123">
        <f>IF('General Information'!$F$52 ="Yes",(_xlfn.IFS($K$1="(L)",COUNTIFS('Application BSRs (L)'!$I:$I,$H56,'Application BSRs (L)'!$G:$G,$H$50), $K$1="(M)", COUNTIFS('Application BSRs (M)'!$I:$I,$H56,'Application BSRs (M)'!$G:$G,$H$50), $K$1="(H)", COUNTIFS('Application BSRs (H)'!$I:$I,$H56,'Application BSRs (H)'!$G:$G,$H$50))),0)</f>
        <v>0</v>
      </c>
      <c r="D56" s="123">
        <f>IF('General Information'!$F$53 ="Yes",(_xlfn.IFS($K$1="(L)",COUNTIFS('Saas - PaaS BSRs (L)'!$H:$H,$H56,'Saas - PaaS BSRs (L)'!$F:$F,$H$50), $K$1="(M)", COUNTIFS('Saas - PaaS BSRs (M)'!$H:$H,$H56,'Saas - PaaS BSRs (M)'!$F:$F,$H$50), $K$1="(H)", COUNTIFS('Saas - PaaS BSRs (H)'!$H:$H,$H56,'Saas - PaaS BSRs (H)'!$F:$F,$H$50))),0)</f>
        <v>0</v>
      </c>
      <c r="E56" s="123">
        <f>IF('General Information'!$F$54 ="Yes",(_xlfn.IFS($K$1="(L)",COUNTIFS('Network Security BSRs (L)'!$H:$H,$H56,'Network Security BSRs (L)'!$F:$F,$H$50), $K$1="(M)", COUNTIFS('Network Security BSRs (M)'!$H:$H,$H56,'Network Security BSRs (M)'!$F:$F,$H$50), $K$1="(H)", COUNTIFS('Network Security BSRs (H)'!$H:$H,$H56,'Network Security BSRs (H)'!$F:$F,$H$50))),0)</f>
        <v>0</v>
      </c>
      <c r="F56" s="123">
        <f>IF('General Information'!$F$55 ="Yes",(_xlfn.IFS($K$1="(L)",COUNTIFS('Software Development BSRs (L)'!$I:$I,$H56,'Software Development BSRs (L)'!$G:$G,$H$50), $K$1="(M)", COUNTIFS('Software Development BSRs (M)'!$I:$I,$H56,'Software Development BSRs (M)'!$G:$G,$H$50), $K$1="(H)", COUNTIFS('Software Development BSRs (H)'!$I:$I,$H56,'Software Development BSRs (H)'!$G:$G,$H$50))),0)</f>
        <v>0</v>
      </c>
      <c r="G56" s="123">
        <f>IF('General Information'!$F$56 ="Yes",(_xlfn.IFS($K$1="(L)",COUNTIFS('Autonomous Devices (L)'!$I:$I,$H56,'Autonomous Devices (L)'!$G:$G,$H$50), $K$1="(M)", COUNTIFS('Autonomous Devices (M)'!$I:$I,$H56,'Autonomous Devices (M)'!$G:$G,$H$50), $K$1="(H)", COUNTIFS('Autonomous Devices (H)'!$I:$I,$H56,'Autonomous Devices (H)'!$G:$G,$H$50))),0)</f>
        <v>0</v>
      </c>
      <c r="H56" s="93" t="s">
        <v>157</v>
      </c>
      <c r="I56" s="93">
        <f t="shared" si="2"/>
        <v>0</v>
      </c>
    </row>
    <row r="57" spans="1:9" x14ac:dyDescent="0.25">
      <c r="A57" s="123">
        <f>IF('General Information'!$F$50 ="Yes",(_xlfn.IFS($K$1="(L)",COUNTIFS('Server BSRs (L)'!$I:$I,$H57,'Server BSRs (L)'!$G:$G,$H$50), $K$1="(M)", COUNTIFS('Server BSRs (M)'!$I:$I,$H57,'Server BSRs (M)'!$G:$G,$H$50), $K$1="(H)", COUNTIFS('Server BSRs (H)'!$I:$I,$H57,'Server BSRs (H)'!$G:$G,$H$50))),0)</f>
        <v>0</v>
      </c>
      <c r="B57" s="123">
        <f>IF('General Information'!$F$51 ="Yes",(_xlfn.IFS($K$1="(L)",COUNTIFS('End User Devices BSRs (L)'!$I:$I,$H56,'End User Devices BSRs (L)'!$G:$G,$H$50), $K$1="(M)", COUNTIFS('End User Devices BSRs (M)'!$I:$I,$H56,'End User Devices BSRs (M)'!$G:$G,$H$50), $K$1="(H)", COUNTIFS('End User Devices BSRs (H)'!$I:$I,$H56,'End User Devices BSRs (H)'!$G:$G,$H$50))),0)</f>
        <v>0</v>
      </c>
      <c r="C57" s="123">
        <f>IF('General Information'!$F$52 ="Yes",(_xlfn.IFS($K$1="(L)",COUNTIFS('Application BSRs (L)'!$I:$I,$H57,'Application BSRs (L)'!$G:$G,$H$50), $K$1="(M)", COUNTIFS('Application BSRs (M)'!$I:$I,$H57,'Application BSRs (M)'!$G:$G,$H$50), $K$1="(H)", COUNTIFS('Application BSRs (H)'!$I:$I,$H57,'Application BSRs (H)'!$G:$G,$H$50))),0)</f>
        <v>0</v>
      </c>
      <c r="D57" s="123">
        <f>IF('General Information'!$F$53 ="Yes",(_xlfn.IFS($K$1="(L)",COUNTIFS('Saas - PaaS BSRs (L)'!$H:$H,$H57,'Saas - PaaS BSRs (L)'!$F:$F,$H$50), $K$1="(M)", COUNTIFS('Saas - PaaS BSRs (M)'!$H:$H,$H57,'Saas - PaaS BSRs (M)'!$F:$F,$H$50), $K$1="(H)", COUNTIFS('Saas - PaaS BSRs (H)'!$H:$H,$H57,'Saas - PaaS BSRs (H)'!$F:$F,$H$50))),0)</f>
        <v>0</v>
      </c>
      <c r="E57" s="123">
        <f>IF('General Information'!$F$54 ="Yes",(_xlfn.IFS($K$1="(L)",COUNTIFS('Network Security BSRs (L)'!$H:$H,$H57,'Network Security BSRs (L)'!$F:$F,$H$50), $K$1="(M)", COUNTIFS('Network Security BSRs (M)'!$H:$H,$H57,'Network Security BSRs (M)'!$F:$F,$H$50), $K$1="(H)", COUNTIFS('Network Security BSRs (H)'!$H:$H,$H57,'Network Security BSRs (H)'!$F:$F,$H$50))),0)</f>
        <v>0</v>
      </c>
      <c r="F57" s="123">
        <f>IF('General Information'!$F$55 ="Yes",(_xlfn.IFS($K$1="(L)",COUNTIFS('Software Development BSRs (L)'!$I:$I,$H57,'Software Development BSRs (L)'!$G:$G,$H$50), $K$1="(M)", COUNTIFS('Software Development BSRs (M)'!$I:$I,$H57,'Software Development BSRs (M)'!$G:$G,$H$50), $K$1="(H)", COUNTIFS('Software Development BSRs (H)'!$I:$I,$H57,'Software Development BSRs (H)'!$G:$G,$H$50))),0)</f>
        <v>0</v>
      </c>
      <c r="G57" s="123">
        <f>IF('General Information'!$F$56 ="Yes",(_xlfn.IFS($K$1="(L)",COUNTIFS('Autonomous Devices (L)'!$I:$I,$H57,'Autonomous Devices (L)'!$G:$G,$H$50), $K$1="(M)", COUNTIFS('Autonomous Devices (M)'!$I:$I,$H57,'Autonomous Devices (M)'!$G:$G,$H$50), $K$1="(H)", COUNTIFS('Autonomous Devices (H)'!$I:$I,$H57,'Autonomous Devices (H)'!$G:$G,$H$50))),0)</f>
        <v>0</v>
      </c>
      <c r="H57" s="93" t="s">
        <v>153</v>
      </c>
      <c r="I57" s="93">
        <f t="shared" si="2"/>
        <v>0</v>
      </c>
    </row>
    <row r="58" spans="1:9" x14ac:dyDescent="0.25">
      <c r="A58" s="123">
        <f>IF('General Information'!$F$50 ="Yes",(_xlfn.IFS($K$1="(L)",COUNTIFS('Server BSRs (L)'!$I:$I,$H58,'Server BSRs (L)'!$G:$G,$H$50), $K$1="(M)", COUNTIFS('Server BSRs (M)'!$I:$I,$H58,'Server BSRs (M)'!$G:$G,$H$50), $K$1="(H)", COUNTIFS('Server BSRs (H)'!$I:$I,$H58,'Server BSRs (H)'!$G:$G,$H$50))),0)</f>
        <v>0</v>
      </c>
      <c r="B58" s="123">
        <f>IF('General Information'!$F$51 ="Yes",(_xlfn.IFS($K$1="(L)",COUNTIFS('End User Devices BSRs (L)'!$I:$I,$H57,'End User Devices BSRs (L)'!$G:$G,$H$50), $K$1="(M)", COUNTIFS('End User Devices BSRs (M)'!$I:$I,$H57,'End User Devices BSRs (M)'!$G:$G,$H$50), $K$1="(H)", COUNTIFS('End User Devices BSRs (H)'!$I:$I,$H57,'End User Devices BSRs (H)'!$G:$G,$H$50))),0)</f>
        <v>0</v>
      </c>
      <c r="C58" s="123">
        <f>IF('General Information'!$F$52 ="Yes",(_xlfn.IFS($K$1="(L)",COUNTIFS('Application BSRs (L)'!$I:$I,$H58,'Application BSRs (L)'!$G:$G,$H$50), $K$1="(M)", COUNTIFS('Application BSRs (M)'!$I:$I,$H58,'Application BSRs (M)'!$G:$G,$H$50), $K$1="(H)", COUNTIFS('Application BSRs (H)'!$I:$I,$H58,'Application BSRs (H)'!$G:$G,$H$50))),0)</f>
        <v>0</v>
      </c>
      <c r="D58" s="123">
        <f>IF('General Information'!$F$53 ="Yes",(_xlfn.IFS($K$1="(L)",COUNTIFS('Saas - PaaS BSRs (L)'!$H:$H,$H58,'Saas - PaaS BSRs (L)'!$F:$F,$H$50), $K$1="(M)", COUNTIFS('Saas - PaaS BSRs (M)'!$H:$H,$H58,'Saas - PaaS BSRs (M)'!$F:$F,$H$50), $K$1="(H)", COUNTIFS('Saas - PaaS BSRs (H)'!$H:$H,$H58,'Saas - PaaS BSRs (H)'!$F:$F,$H$50))),0)</f>
        <v>0</v>
      </c>
      <c r="E58" s="123">
        <f>IF('General Information'!$F$54 ="Yes",(_xlfn.IFS($K$1="(L)",COUNTIFS('Network Security BSRs (L)'!$H:$H,$H58,'Network Security BSRs (L)'!$F:$F,$H$50), $K$1="(M)", COUNTIFS('Network Security BSRs (M)'!$H:$H,$H58,'Network Security BSRs (M)'!$F:$F,$H$50), $K$1="(H)", COUNTIFS('Network Security BSRs (H)'!$H:$H,$H58,'Network Security BSRs (H)'!$F:$F,$H$50))),0)</f>
        <v>0</v>
      </c>
      <c r="F58" s="123">
        <f>IF('General Information'!$F$55 ="Yes",(_xlfn.IFS($K$1="(L)",COUNTIFS('Software Development BSRs (L)'!$I:$I,$H58,'Software Development BSRs (L)'!$G:$G,$H$50), $K$1="(M)", COUNTIFS('Software Development BSRs (M)'!$I:$I,$H58,'Software Development BSRs (M)'!$G:$G,$H$50), $K$1="(H)", COUNTIFS('Software Development BSRs (H)'!$I:$I,$H58,'Software Development BSRs (H)'!$G:$G,$H$50))),0)</f>
        <v>0</v>
      </c>
      <c r="G58" s="123">
        <f>IF('General Information'!$F$56 ="Yes",(_xlfn.IFS($K$1="(L)",COUNTIFS('Autonomous Devices (L)'!$I:$I,$H58,'Autonomous Devices (L)'!$G:$G,$H$50), $K$1="(M)", COUNTIFS('Autonomous Devices (M)'!$I:$I,$H58,'Autonomous Devices (M)'!$G:$G,$H$50), $K$1="(H)", COUNTIFS('Autonomous Devices (H)'!$I:$I,$H58,'Autonomous Devices (H)'!$G:$G,$H$50))),0)</f>
        <v>0</v>
      </c>
      <c r="H58" s="93" t="s">
        <v>127</v>
      </c>
      <c r="I58" s="93">
        <f t="shared" si="2"/>
        <v>0</v>
      </c>
    </row>
    <row r="59" spans="1:9" x14ac:dyDescent="0.25">
      <c r="A59" s="123">
        <f>IF('General Information'!$F$50 ="Yes",(_xlfn.IFS($K$1="(L)",COUNTIFS('Server BSRs (L)'!$I:$I,$H59,'Server BSRs (L)'!$G:$G,$H$50), $K$1="(M)", COUNTIFS('Server BSRs (M)'!$I:$I,$H59,'Server BSRs (M)'!$G:$G,$H$50), $K$1="(H)", COUNTIFS('Server BSRs (H)'!$I:$I,$H59,'Server BSRs (H)'!$G:$G,$H$50))),0)</f>
        <v>0</v>
      </c>
      <c r="B59" s="123">
        <f>IF('General Information'!$F$51 ="Yes",(_xlfn.IFS($K$1="(L)",COUNTIFS('End User Devices BSRs (L)'!$I:$I,$H58,'End User Devices BSRs (L)'!$G:$G,$H$50), $K$1="(M)", COUNTIFS('End User Devices BSRs (M)'!$I:$I,$H58,'End User Devices BSRs (M)'!$G:$G,$H$50), $K$1="(H)", COUNTIFS('End User Devices BSRs (H)'!$I:$I,$H58,'End User Devices BSRs (H)'!$G:$G,$H$50))),0)</f>
        <v>0</v>
      </c>
      <c r="C59" s="123">
        <f>IF('General Information'!$F$52 ="Yes",(_xlfn.IFS($K$1="(L)",COUNTIFS('Application BSRs (L)'!$I:$I,$H59,'Application BSRs (L)'!$G:$G,$H$50), $K$1="(M)", COUNTIFS('Application BSRs (M)'!$I:$I,$H59,'Application BSRs (M)'!$G:$G,$H$50), $K$1="(H)", COUNTIFS('Application BSRs (H)'!$I:$I,$H59,'Application BSRs (H)'!$G:$G,$H$50))),0)</f>
        <v>0</v>
      </c>
      <c r="D59" s="123">
        <f>IF('General Information'!$F$53 ="Yes",(_xlfn.IFS($K$1="(L)",COUNTIFS('Saas - PaaS BSRs (L)'!$H:$H,$H59,'Saas - PaaS BSRs (L)'!$F:$F,$H$50), $K$1="(M)", COUNTIFS('Saas - PaaS BSRs (M)'!$H:$H,$H59,'Saas - PaaS BSRs (M)'!$F:$F,$H$50), $K$1="(H)", COUNTIFS('Saas - PaaS BSRs (H)'!$H:$H,$H59,'Saas - PaaS BSRs (H)'!$F:$F,$H$50))),0)</f>
        <v>0</v>
      </c>
      <c r="E59" s="123">
        <f>IF('General Information'!$F$54 ="Yes",(_xlfn.IFS($K$1="(L)",COUNTIFS('Network Security BSRs (L)'!$H:$H,$H59,'Network Security BSRs (L)'!$F:$F,$H$50), $K$1="(M)", COUNTIFS('Network Security BSRs (M)'!$H:$H,$H59,'Network Security BSRs (M)'!$F:$F,$H$50), $K$1="(H)", COUNTIFS('Network Security BSRs (H)'!$H:$H,$H59,'Network Security BSRs (H)'!$F:$F,$H$50))),0)</f>
        <v>0</v>
      </c>
      <c r="F59" s="123">
        <f>IF('General Information'!$F$55 ="Yes",(_xlfn.IFS($K$1="(L)",COUNTIFS('Software Development BSRs (L)'!$I:$I,$H59,'Software Development BSRs (L)'!$G:$G,$H$50), $K$1="(M)", COUNTIFS('Software Development BSRs (M)'!$I:$I,$H59,'Software Development BSRs (M)'!$G:$G,$H$50), $K$1="(H)", COUNTIFS('Software Development BSRs (H)'!$I:$I,$H59,'Software Development BSRs (H)'!$G:$G,$H$50))),0)</f>
        <v>0</v>
      </c>
      <c r="G59" s="123">
        <f>IF('General Information'!$F$56 ="Yes",(_xlfn.IFS($K$1="(L)",COUNTIFS('Autonomous Devices (L)'!$I:$I,$H59,'Autonomous Devices (L)'!$G:$G,$H$50), $K$1="(M)", COUNTIFS('Autonomous Devices (M)'!$I:$I,$H59,'Autonomous Devices (M)'!$G:$G,$H$50), $K$1="(H)", COUNTIFS('Autonomous Devices (H)'!$I:$I,$H59,'Autonomous Devices (H)'!$G:$G,$H$50))),0)</f>
        <v>0</v>
      </c>
      <c r="H59" s="93" t="s">
        <v>95</v>
      </c>
      <c r="I59" s="93">
        <f t="shared" si="2"/>
        <v>0</v>
      </c>
    </row>
    <row r="60" spans="1:9" x14ac:dyDescent="0.25">
      <c r="A60" s="123">
        <f>IF('General Information'!$F$50 ="Yes",(_xlfn.IFS($K$1="(L)",COUNTIFS('Server BSRs (L)'!$I:$I,$H60,'Server BSRs (L)'!$G:$G,$H$50), $K$1="(M)", COUNTIFS('Server BSRs (M)'!$I:$I,$H60,'Server BSRs (M)'!$G:$G,$H$50), $K$1="(H)", COUNTIFS('Server BSRs (H)'!$I:$I,$H60,'Server BSRs (H)'!$G:$G,$H$50))),0)</f>
        <v>0</v>
      </c>
      <c r="B60" s="123">
        <f>IF('General Information'!$F$51 ="Yes",(_xlfn.IFS($K$1="(L)",COUNTIFS('End User Devices BSRs (L)'!$I:$I,$H59,'End User Devices BSRs (L)'!$G:$G,$H$50), $K$1="(M)", COUNTIFS('End User Devices BSRs (M)'!$I:$I,$H59,'End User Devices BSRs (M)'!$G:$G,$H$50), $K$1="(H)", COUNTIFS('End User Devices BSRs (H)'!$I:$I,$H59,'End User Devices BSRs (H)'!$G:$G,$H$50))),0)</f>
        <v>0</v>
      </c>
      <c r="C60" s="123">
        <f>IF('General Information'!$F$52 ="Yes",(_xlfn.IFS($K$1="(L)",COUNTIFS('Application BSRs (L)'!$I:$I,$H60,'Application BSRs (L)'!$G:$G,$H$50), $K$1="(M)", COUNTIFS('Application BSRs (M)'!$I:$I,$H60,'Application BSRs (M)'!$G:$G,$H$50), $K$1="(H)", COUNTIFS('Application BSRs (H)'!$I:$I,$H60,'Application BSRs (H)'!$G:$G,$H$50))),0)</f>
        <v>0</v>
      </c>
      <c r="D60" s="123">
        <f>IF('General Information'!$F$53 ="Yes",(_xlfn.IFS($K$1="(L)",COUNTIFS('Saas - PaaS BSRs (L)'!$H:$H,$H60,'Saas - PaaS BSRs (L)'!$F:$F,$H$50), $K$1="(M)", COUNTIFS('Saas - PaaS BSRs (M)'!$H:$H,$H60,'Saas - PaaS BSRs (M)'!$F:$F,$H$50), $K$1="(H)", COUNTIFS('Saas - PaaS BSRs (H)'!$H:$H,$H60,'Saas - PaaS BSRs (H)'!$F:$F,$H$50))),0)</f>
        <v>0</v>
      </c>
      <c r="E60" s="123">
        <f>IF('General Information'!$F$54 ="Yes",(_xlfn.IFS($K$1="(L)",COUNTIFS('Network Security BSRs (L)'!$H:$H,$H60,'Network Security BSRs (L)'!$F:$F,$H$50), $K$1="(M)", COUNTIFS('Network Security BSRs (M)'!$H:$H,$H60,'Network Security BSRs (M)'!$F:$F,$H$50), $K$1="(H)", COUNTIFS('Network Security BSRs (H)'!$H:$H,$H60,'Network Security BSRs (H)'!$F:$F,$H$50))),0)</f>
        <v>0</v>
      </c>
      <c r="F60" s="123">
        <f>IF('General Information'!$F$55 ="Yes",(_xlfn.IFS($K$1="(L)",COUNTIFS('Software Development BSRs (L)'!$I:$I,$H60,'Software Development BSRs (L)'!$G:$G,$H$50), $K$1="(M)", COUNTIFS('Software Development BSRs (M)'!$I:$I,$H60,'Software Development BSRs (M)'!$G:$G,$H$50), $K$1="(H)", COUNTIFS('Software Development BSRs (H)'!$I:$I,$H60,'Software Development BSRs (H)'!$G:$G,$H$50))),0)</f>
        <v>0</v>
      </c>
      <c r="G60" s="123">
        <f>IF('General Information'!$F$56 ="Yes",(_xlfn.IFS($K$1="(L)",COUNTIFS('Autonomous Devices (L)'!$I:$I,$H60,'Autonomous Devices (L)'!$G:$G,$H$50), $K$1="(M)", COUNTIFS('Autonomous Devices (M)'!$I:$I,$H60,'Autonomous Devices (M)'!$G:$G,$H$50), $K$1="(H)", COUNTIFS('Autonomous Devices (H)'!$I:$I,$H60,'Autonomous Devices (H)'!$G:$G,$H$50))),0)</f>
        <v>0</v>
      </c>
      <c r="H60" s="93" t="s">
        <v>235</v>
      </c>
      <c r="I60" s="93">
        <f t="shared" si="2"/>
        <v>0</v>
      </c>
    </row>
    <row r="61" spans="1:9" x14ac:dyDescent="0.25">
      <c r="A61" s="123">
        <f>IF('General Information'!$F$50 ="Yes",(_xlfn.IFS($K$1="(L)",COUNTIFS('Server BSRs (L)'!$I:$I,$H61,'Server BSRs (L)'!$G:$G,$H$50), $K$1="(M)", COUNTIFS('Server BSRs (M)'!$I:$I,$H61,'Server BSRs (M)'!$G:$G,$H$50), $K$1="(H)", COUNTIFS('Server BSRs (H)'!$I:$I,$H61,'Server BSRs (H)'!$G:$G,$H$50))),0)</f>
        <v>0</v>
      </c>
      <c r="B61" s="123">
        <f>IF('General Information'!$F$51 ="Yes",(_xlfn.IFS($K$1="(L)",COUNTIFS('End User Devices BSRs (L)'!$I:$I,$H60,'End User Devices BSRs (L)'!$G:$G,$H$50), $K$1="(M)", COUNTIFS('End User Devices BSRs (M)'!$I:$I,$H60,'End User Devices BSRs (M)'!$G:$G,$H$50), $K$1="(H)", COUNTIFS('End User Devices BSRs (H)'!$I:$I,$H60,'End User Devices BSRs (H)'!$G:$G,$H$50))),0)</f>
        <v>0</v>
      </c>
      <c r="C61" s="123">
        <f>IF('General Information'!$F$52 ="Yes",(_xlfn.IFS($K$1="(L)",COUNTIFS('Application BSRs (L)'!$I:$I,$H61,'Application BSRs (L)'!$G:$G,$H$50), $K$1="(M)", COUNTIFS('Application BSRs (M)'!$I:$I,$H61,'Application BSRs (M)'!$G:$G,$H$50), $K$1="(H)", COUNTIFS('Application BSRs (H)'!$I:$I,$H61,'Application BSRs (H)'!$G:$G,$H$50))),0)</f>
        <v>0</v>
      </c>
      <c r="D61" s="123">
        <f>IF('General Information'!$F$53 ="Yes",(_xlfn.IFS($K$1="(L)",COUNTIFS('Saas - PaaS BSRs (L)'!$H:$H,$H61,'Saas - PaaS BSRs (L)'!$F:$F,$H$50), $K$1="(M)", COUNTIFS('Saas - PaaS BSRs (M)'!$H:$H,$H61,'Saas - PaaS BSRs (M)'!$F:$F,$H$50), $K$1="(H)", COUNTIFS('Saas - PaaS BSRs (H)'!$H:$H,$H61,'Saas - PaaS BSRs (H)'!$F:$F,$H$50))),0)</f>
        <v>0</v>
      </c>
      <c r="E61" s="123">
        <f>IF('General Information'!$F$54 ="Yes",(_xlfn.IFS($K$1="(L)",COUNTIFS('Network Security BSRs (L)'!$H:$H,$H61,'Network Security BSRs (L)'!$F:$F,$H$50), $K$1="(M)", COUNTIFS('Network Security BSRs (M)'!$H:$H,$H61,'Network Security BSRs (M)'!$F:$F,$H$50), $K$1="(H)", COUNTIFS('Network Security BSRs (H)'!$H:$H,$H61,'Network Security BSRs (H)'!$F:$F,$H$50))),0)</f>
        <v>0</v>
      </c>
      <c r="F61" s="123">
        <f>IF('General Information'!$F$55 ="Yes",(_xlfn.IFS($K$1="(L)",COUNTIFS('Software Development BSRs (L)'!$I:$I,$H61,'Software Development BSRs (L)'!$G:$G,$H$50), $K$1="(M)", COUNTIFS('Software Development BSRs (M)'!$I:$I,$H61,'Software Development BSRs (M)'!$G:$G,$H$50), $K$1="(H)", COUNTIFS('Software Development BSRs (H)'!$I:$I,$H61,'Software Development BSRs (H)'!$G:$G,$H$50))),0)</f>
        <v>0</v>
      </c>
      <c r="G61" s="123">
        <f>IF('General Information'!$F$56 ="Yes",(_xlfn.IFS($K$1="(L)",COUNTIFS('Autonomous Devices (L)'!$I:$I,$H61,'Autonomous Devices (L)'!$G:$G,$H$50), $K$1="(M)", COUNTIFS('Autonomous Devices (M)'!$I:$I,$H61,'Autonomous Devices (M)'!$G:$G,$H$50), $K$1="(H)", COUNTIFS('Autonomous Devices (H)'!$I:$I,$H61,'Autonomous Devices (H)'!$G:$G,$H$50))),0)</f>
        <v>0</v>
      </c>
      <c r="H61" s="93" t="s">
        <v>171</v>
      </c>
      <c r="I61" s="93">
        <f t="shared" si="2"/>
        <v>0</v>
      </c>
    </row>
    <row r="62" spans="1:9" x14ac:dyDescent="0.25">
      <c r="A62" s="123">
        <f>IF('General Information'!$F$50 ="Yes",(_xlfn.IFS($K$1="(L)",COUNTIFS('Server BSRs (L)'!$I:$I,$H62,'Server BSRs (L)'!$G:$G,$H$50), $K$1="(M)", COUNTIFS('Server BSRs (M)'!$I:$I,$H62,'Server BSRs (M)'!$G:$G,$H$50), $K$1="(H)", COUNTIFS('Server BSRs (H)'!$I:$I,$H62,'Server BSRs (H)'!$G:$G,$H$50))),0)</f>
        <v>0</v>
      </c>
      <c r="B62" s="123">
        <f>IF('General Information'!$F$51 ="Yes",(_xlfn.IFS($K$1="(L)",COUNTIFS('End User Devices BSRs (L)'!$I:$I,$H61,'End User Devices BSRs (L)'!$G:$G,$H$50), $K$1="(M)", COUNTIFS('End User Devices BSRs (M)'!$I:$I,$H61,'End User Devices BSRs (M)'!$G:$G,$H$50), $K$1="(H)", COUNTIFS('End User Devices BSRs (H)'!$I:$I,$H61,'End User Devices BSRs (H)'!$G:$G,$H$50))),0)</f>
        <v>0</v>
      </c>
      <c r="C62" s="123">
        <f>IF('General Information'!$F$52 ="Yes",(_xlfn.IFS($K$1="(L)",COUNTIFS('Application BSRs (L)'!$I:$I,$H62,'Application BSRs (L)'!$G:$G,$H$50), $K$1="(M)", COUNTIFS('Application BSRs (M)'!$I:$I,$H62,'Application BSRs (M)'!$G:$G,$H$50), $K$1="(H)", COUNTIFS('Application BSRs (H)'!$I:$I,$H62,'Application BSRs (H)'!$G:$G,$H$50))),0)</f>
        <v>0</v>
      </c>
      <c r="D62" s="123">
        <f>IF('General Information'!$F$53 ="Yes",(_xlfn.IFS($K$1="(L)",COUNTIFS('Saas - PaaS BSRs (L)'!$H:$H,$H62,'Saas - PaaS BSRs (L)'!$F:$F,$H$50), $K$1="(M)", COUNTIFS('Saas - PaaS BSRs (M)'!$H:$H,$H62,'Saas - PaaS BSRs (M)'!$F:$F,$H$50), $K$1="(H)", COUNTIFS('Saas - PaaS BSRs (H)'!$H:$H,$H62,'Saas - PaaS BSRs (H)'!$F:$F,$H$50))),0)</f>
        <v>0</v>
      </c>
      <c r="E62" s="123">
        <f>IF('General Information'!$F$54 ="Yes",(_xlfn.IFS($K$1="(L)",COUNTIFS('Network Security BSRs (L)'!$H:$H,$H62,'Network Security BSRs (L)'!$F:$F,$H$50), $K$1="(M)", COUNTIFS('Network Security BSRs (M)'!$H:$H,$H62,'Network Security BSRs (M)'!$F:$F,$H$50), $K$1="(H)", COUNTIFS('Network Security BSRs (H)'!$H:$H,$H62,'Network Security BSRs (H)'!$F:$F,$H$50))),0)</f>
        <v>0</v>
      </c>
      <c r="F62" s="123">
        <f>IF('General Information'!$F$55 ="Yes",(_xlfn.IFS($K$1="(L)",COUNTIFS('Software Development BSRs (L)'!$I:$I,$H62,'Software Development BSRs (L)'!$G:$G,$H$50), $K$1="(M)", COUNTIFS('Software Development BSRs (M)'!$I:$I,$H62,'Software Development BSRs (M)'!$G:$G,$H$50), $K$1="(H)", COUNTIFS('Software Development BSRs (H)'!$I:$I,$H62,'Software Development BSRs (H)'!$G:$G,$H$50))),0)</f>
        <v>0</v>
      </c>
      <c r="G62" s="123">
        <f>IF('General Information'!$F$56 ="Yes",(_xlfn.IFS($K$1="(L)",COUNTIFS('Autonomous Devices (L)'!$I:$I,$H62,'Autonomous Devices (L)'!$G:$G,$H$50), $K$1="(M)", COUNTIFS('Autonomous Devices (M)'!$I:$I,$H62,'Autonomous Devices (M)'!$G:$G,$H$50), $K$1="(H)", COUNTIFS('Autonomous Devices (H)'!$I:$I,$H62,'Autonomous Devices (H)'!$G:$G,$H$50))),0)</f>
        <v>0</v>
      </c>
      <c r="H62" s="93" t="s">
        <v>132</v>
      </c>
      <c r="I62" s="93">
        <f t="shared" si="2"/>
        <v>0</v>
      </c>
    </row>
    <row r="63" spans="1:9" x14ac:dyDescent="0.25">
      <c r="A63" s="123">
        <f>IF('General Information'!$F$50 ="Yes",(_xlfn.IFS($K$1="(L)",COUNTIFS('Server BSRs (L)'!$I:$I,$H63,'Server BSRs (L)'!$G:$G,$H$50), $K$1="(M)", COUNTIFS('Server BSRs (M)'!$I:$I,$H63,'Server BSRs (M)'!$G:$G,$H$50), $K$1="(H)", COUNTIFS('Server BSRs (H)'!$I:$I,$H63,'Server BSRs (H)'!$G:$G,$H$50))),0)</f>
        <v>0</v>
      </c>
      <c r="B63" s="123">
        <f>IF('General Information'!$F$51 ="Yes",(_xlfn.IFS($K$1="(L)",COUNTIFS('End User Devices BSRs (L)'!$I:$I,$H62,'End User Devices BSRs (L)'!$G:$G,$H$50), $K$1="(M)", COUNTIFS('End User Devices BSRs (M)'!$I:$I,$H62,'End User Devices BSRs (M)'!$G:$G,$H$50), $K$1="(H)", COUNTIFS('End User Devices BSRs (H)'!$I:$I,$H62,'End User Devices BSRs (H)'!$G:$G,$H$50))),0)</f>
        <v>0</v>
      </c>
      <c r="C63" s="123">
        <f>IF('General Information'!$F$52 ="Yes",(_xlfn.IFS($K$1="(L)",COUNTIFS('Application BSRs (L)'!$I:$I,$H63,'Application BSRs (L)'!$G:$G,$H$50), $K$1="(M)", COUNTIFS('Application BSRs (M)'!$I:$I,$H63,'Application BSRs (M)'!$G:$G,$H$50), $K$1="(H)", COUNTIFS('Application BSRs (H)'!$I:$I,$H63,'Application BSRs (H)'!$G:$G,$H$50))),0)</f>
        <v>0</v>
      </c>
      <c r="D63" s="123">
        <f>IF('General Information'!$F$53 ="Yes",(_xlfn.IFS($K$1="(L)",COUNTIFS('Saas - PaaS BSRs (L)'!$H:$H,$H63,'Saas - PaaS BSRs (L)'!$F:$F,$H$50), $K$1="(M)", COUNTIFS('Saas - PaaS BSRs (M)'!$H:$H,$H63,'Saas - PaaS BSRs (M)'!$F:$F,$H$50), $K$1="(H)", COUNTIFS('Saas - PaaS BSRs (H)'!$H:$H,$H63,'Saas - PaaS BSRs (H)'!$F:$F,$H$50))),0)</f>
        <v>0</v>
      </c>
      <c r="E63" s="123">
        <f>IF('General Information'!$F$54 ="Yes",(_xlfn.IFS($K$1="(L)",COUNTIFS('Network Security BSRs (L)'!$H:$H,$H63,'Network Security BSRs (L)'!$F:$F,$H$50), $K$1="(M)", COUNTIFS('Network Security BSRs (M)'!$H:$H,$H63,'Network Security BSRs (M)'!$F:$F,$H$50), $K$1="(H)", COUNTIFS('Network Security BSRs (H)'!$H:$H,$H63,'Network Security BSRs (H)'!$F:$F,$H$50))),0)</f>
        <v>0</v>
      </c>
      <c r="F63" s="123">
        <f>IF('General Information'!$F$55 ="Yes",(_xlfn.IFS($K$1="(L)",COUNTIFS('Software Development BSRs (L)'!$I:$I,$H63,'Software Development BSRs (L)'!$G:$G,$H$50), $K$1="(M)", COUNTIFS('Software Development BSRs (M)'!$I:$I,$H63,'Software Development BSRs (M)'!$G:$G,$H$50), $K$1="(H)", COUNTIFS('Software Development BSRs (H)'!$I:$I,$H63,'Software Development BSRs (H)'!$G:$G,$H$50))),0)</f>
        <v>0</v>
      </c>
      <c r="G63" s="123">
        <f>IF('General Information'!$F$56 ="Yes",(_xlfn.IFS($K$1="(L)",COUNTIFS('Autonomous Devices (L)'!$I:$I,$H63,'Autonomous Devices (L)'!$G:$G,$H$50), $K$1="(M)", COUNTIFS('Autonomous Devices (M)'!$I:$I,$H63,'Autonomous Devices (M)'!$G:$G,$H$50), $K$1="(H)", COUNTIFS('Autonomous Devices (H)'!$I:$I,$H63,'Autonomous Devices (H)'!$G:$G,$H$50))),0)</f>
        <v>0</v>
      </c>
      <c r="H63" s="93" t="s">
        <v>230</v>
      </c>
      <c r="I63" s="93">
        <f t="shared" si="2"/>
        <v>0</v>
      </c>
    </row>
    <row r="64" spans="1:9" x14ac:dyDescent="0.25">
      <c r="A64" s="93"/>
      <c r="B64" s="123">
        <f>IF('General Information'!$F$51 ="Yes",(_xlfn.IFS($K$1="(L)",COUNTIFS('End User Devices BSRs (L)'!$I:$I,$H63,'End User Devices BSRs (L)'!$G:$G,$H$50), $K$1="(M)", COUNTIFS('End User Devices BSRs (M)'!$I:$I,$H63,'End User Devices BSRs (M)'!$G:$G,$H$50), $K$1="(H)", COUNTIFS('End User Devices BSRs (H)'!$I:$I,$H63,'End User Devices BSRs (H)'!$G:$G,$H$50))),0)</f>
        <v>0</v>
      </c>
      <c r="C64" s="93"/>
      <c r="D64" s="93"/>
      <c r="E64" s="93"/>
      <c r="F64" s="93"/>
      <c r="H64" s="93"/>
      <c r="I64" s="93"/>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BA88A-0FC4-48BB-9CDA-A8BEBAA10C7C}">
  <sheetPr codeName="Sheet19">
    <tabColor rgb="FF78A22F"/>
  </sheetPr>
  <dimension ref="A1:K33"/>
  <sheetViews>
    <sheetView showGridLines="0" topLeftCell="J5" zoomScaleNormal="100" workbookViewId="0">
      <selection activeCell="K5" sqref="K5"/>
    </sheetView>
  </sheetViews>
  <sheetFormatPr defaultColWidth="9.140625" defaultRowHeight="28.5" customHeight="1" x14ac:dyDescent="0.25"/>
  <cols>
    <col min="1" max="1" width="11.85546875" style="157" bestFit="1" customWidth="1"/>
    <col min="2" max="2" width="17.5703125" style="8" customWidth="1"/>
    <col min="3" max="3" width="18.5703125" style="8" customWidth="1"/>
    <col min="4" max="4" width="36.42578125" style="8" bestFit="1" customWidth="1"/>
    <col min="5" max="5" width="18.5703125" style="8" customWidth="1"/>
    <col min="6" max="6" width="16.85546875" style="8" customWidth="1"/>
    <col min="7" max="7" width="22" style="8" customWidth="1"/>
    <col min="8" max="8" width="22" style="9" customWidth="1"/>
    <col min="9" max="9" width="34.5703125" style="8" bestFit="1" customWidth="1"/>
    <col min="10" max="10" width="25.42578125" style="93" bestFit="1" customWidth="1"/>
    <col min="11" max="11" width="35.5703125" style="8" customWidth="1"/>
    <col min="12" max="16384" width="9.140625" style="8"/>
  </cols>
  <sheetData>
    <row r="1" spans="1:11" ht="12.75" x14ac:dyDescent="0.2">
      <c r="C1" s="226"/>
      <c r="D1" s="226"/>
      <c r="E1" s="173"/>
      <c r="F1" s="9"/>
      <c r="G1" s="9"/>
      <c r="J1" s="8"/>
    </row>
    <row r="2" spans="1:11" ht="18" x14ac:dyDescent="0.25">
      <c r="B2" s="225" t="s">
        <v>156</v>
      </c>
      <c r="C2" s="225"/>
      <c r="D2" s="225"/>
      <c r="E2" s="225"/>
      <c r="F2" s="225"/>
      <c r="G2" s="225"/>
      <c r="H2" s="225"/>
      <c r="I2" s="225"/>
      <c r="J2" s="225"/>
      <c r="K2" s="225"/>
    </row>
    <row r="3" spans="1:11" ht="12.75" x14ac:dyDescent="0.2">
      <c r="H3" s="8"/>
      <c r="J3" s="8"/>
    </row>
    <row r="4" spans="1:1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ht="69.95" customHeight="1" thickBot="1" x14ac:dyDescent="0.25">
      <c r="A5" s="162" t="s">
        <v>114</v>
      </c>
      <c r="B5" s="24" t="s">
        <v>115</v>
      </c>
      <c r="C5" s="58" t="s">
        <v>87</v>
      </c>
      <c r="D5" s="131" t="str">
        <f>VLOOKUP(A5,'Control Sheet'!_xlnm._FilterDatabase, 2,FALSE)</f>
        <v>Perform a monthly vulnerability scan. 
Remediate severity 4 and 5 vulnerabilities within two days of discovery and severity 3 vulnerabilities within seven days (TBC).</v>
      </c>
      <c r="E5" s="51" t="s">
        <v>138</v>
      </c>
      <c r="F5" s="25" t="s">
        <v>81</v>
      </c>
      <c r="G5" s="25" t="s">
        <v>82</v>
      </c>
      <c r="H5" s="25" t="s">
        <v>83</v>
      </c>
      <c r="I5" s="79" t="s">
        <v>95</v>
      </c>
      <c r="J5" s="79"/>
      <c r="K5" s="80"/>
    </row>
    <row r="6" spans="1:11" ht="55.5" customHeight="1" thickBot="1" x14ac:dyDescent="0.25">
      <c r="A6" s="162" t="s">
        <v>117</v>
      </c>
      <c r="B6" s="24" t="s">
        <v>118</v>
      </c>
      <c r="C6" s="58" t="s">
        <v>79</v>
      </c>
      <c r="D6" s="131" t="str">
        <f>VLOOKUP(A6,'Control Sheet'!_xlnm._FilterDatabase, 2,FALSE)</f>
        <v>Enable host-based firewall in default deny mode and permit the Baseline necessary services.</v>
      </c>
      <c r="E6" s="51" t="s">
        <v>367</v>
      </c>
      <c r="F6" s="25" t="s">
        <v>81</v>
      </c>
      <c r="G6" s="25" t="s">
        <v>82</v>
      </c>
      <c r="H6" s="25" t="s">
        <v>83</v>
      </c>
      <c r="I6" s="79" t="s">
        <v>157</v>
      </c>
      <c r="J6" s="79"/>
      <c r="K6" s="80"/>
    </row>
    <row r="7" spans="1:11" ht="117" customHeight="1" thickBot="1" x14ac:dyDescent="0.25">
      <c r="A7" s="162" t="s">
        <v>121</v>
      </c>
      <c r="B7" s="24" t="s">
        <v>122</v>
      </c>
      <c r="C7" s="58" t="s">
        <v>87</v>
      </c>
      <c r="D7" s="131" t="str">
        <f>VLOOKUP(A7,'Control Sheet'!_xlnm._FilterDatabase, 2,FALSE)</f>
        <v>Manage least privilege by reviewing and updating existing system accounts and privileges. Enforce password complexity, aging &amp; history. Logins only via NG AD credentials</v>
      </c>
      <c r="E7" s="51" t="s">
        <v>123</v>
      </c>
      <c r="F7" s="25" t="s">
        <v>81</v>
      </c>
      <c r="G7" s="25" t="s">
        <v>82</v>
      </c>
      <c r="H7" s="25" t="s">
        <v>83</v>
      </c>
      <c r="I7" s="79" t="s">
        <v>103</v>
      </c>
      <c r="J7" s="79"/>
      <c r="K7" s="80"/>
    </row>
    <row r="8" spans="1:11" ht="69.599999999999994" customHeight="1" thickBot="1" x14ac:dyDescent="0.25">
      <c r="A8" s="162" t="s">
        <v>158</v>
      </c>
      <c r="B8" s="26" t="s">
        <v>159</v>
      </c>
      <c r="C8" s="58" t="s">
        <v>79</v>
      </c>
      <c r="D8" s="131" t="str">
        <f>VLOOKUP(A8,'Control Sheet'!_xlnm._FilterDatabase, 2,FALSE)</f>
        <v>Define and document roles and responsibilities.  Ensure separation of duties.</v>
      </c>
      <c r="E8" s="75" t="s">
        <v>160</v>
      </c>
      <c r="F8" s="25" t="s">
        <v>81</v>
      </c>
      <c r="G8" s="25" t="s">
        <v>82</v>
      </c>
      <c r="H8" s="25" t="s">
        <v>83</v>
      </c>
      <c r="I8" s="79" t="s">
        <v>103</v>
      </c>
      <c r="J8" s="79"/>
      <c r="K8" s="80"/>
    </row>
    <row r="9" spans="1:11" ht="119.45" customHeight="1" thickBot="1" x14ac:dyDescent="0.25">
      <c r="A9" s="162" t="s">
        <v>161</v>
      </c>
      <c r="B9" s="26" t="s">
        <v>162</v>
      </c>
      <c r="C9" s="58" t="s">
        <v>79</v>
      </c>
      <c r="D9" s="131" t="str">
        <f>VLOOKUP(A9,'Control Sheet'!_xlnm._FilterDatabase, 2,FALSE)</f>
        <v>Require multi-factor authentication for all interactive application logins off-network</v>
      </c>
      <c r="E9" s="75" t="s">
        <v>163</v>
      </c>
      <c r="F9" s="25" t="s">
        <v>81</v>
      </c>
      <c r="G9" s="25" t="s">
        <v>82</v>
      </c>
      <c r="H9" s="25" t="s">
        <v>83</v>
      </c>
      <c r="I9" s="79" t="s">
        <v>103</v>
      </c>
      <c r="J9" s="79"/>
      <c r="K9" s="80"/>
    </row>
    <row r="10" spans="1:11" ht="96.95" customHeight="1" thickBot="1" x14ac:dyDescent="0.25">
      <c r="A10" s="162" t="s">
        <v>124</v>
      </c>
      <c r="B10" s="26" t="s">
        <v>125</v>
      </c>
      <c r="C10" s="58" t="s">
        <v>87</v>
      </c>
      <c r="D10" s="131" t="str">
        <f>VLOOKUP(A10,'Control Sheet'!_xlnm._FilterDatabase, 2,FALSE)</f>
        <v>Forward logs to a remote log server. Logs should be made available to NG CSOC</v>
      </c>
      <c r="E10" s="75" t="s">
        <v>228</v>
      </c>
      <c r="F10" s="25" t="s">
        <v>81</v>
      </c>
      <c r="G10" s="25" t="s">
        <v>82</v>
      </c>
      <c r="H10" s="25" t="s">
        <v>83</v>
      </c>
      <c r="I10" s="79" t="s">
        <v>127</v>
      </c>
      <c r="J10" s="79"/>
      <c r="K10" s="80"/>
    </row>
    <row r="11" spans="1:11" ht="57.95" customHeight="1" thickBot="1" x14ac:dyDescent="0.25">
      <c r="A11" s="162" t="s">
        <v>164</v>
      </c>
      <c r="B11" s="26" t="s">
        <v>165</v>
      </c>
      <c r="C11" s="58" t="s">
        <v>79</v>
      </c>
      <c r="D11" s="131" t="str">
        <f>VLOOKUP(A11,'Control Sheet'!_xlnm._FilterDatabase, 2,FALSE)</f>
        <v>Include security as a design requirement. Review all code and correctly identified security flaws prior to deployment. Use of static code analysis tools recommended.</v>
      </c>
      <c r="E11" s="51" t="s">
        <v>166</v>
      </c>
      <c r="F11" s="25" t="s">
        <v>81</v>
      </c>
      <c r="G11" s="25" t="s">
        <v>82</v>
      </c>
      <c r="H11" s="25" t="s">
        <v>83</v>
      </c>
      <c r="I11" s="79" t="s">
        <v>95</v>
      </c>
      <c r="J11" s="79"/>
      <c r="K11" s="80"/>
    </row>
    <row r="12" spans="1:11" ht="35.25" customHeight="1" thickBot="1" x14ac:dyDescent="0.25">
      <c r="A12" s="162" t="s">
        <v>283</v>
      </c>
      <c r="B12" s="26" t="s">
        <v>134</v>
      </c>
      <c r="C12" s="58" t="s">
        <v>79</v>
      </c>
      <c r="D12" s="131" t="str">
        <f>VLOOKUP(A12,'Control Sheet'!_xlnm._FilterDatabase, 2,FALSE)</f>
        <v>Access administrative accounts only through a Privileged Access Workstation (PAW).</v>
      </c>
      <c r="E12" s="51" t="s">
        <v>227</v>
      </c>
      <c r="F12" s="25" t="s">
        <v>81</v>
      </c>
      <c r="G12" s="25" t="s">
        <v>82</v>
      </c>
      <c r="H12" s="25" t="s">
        <v>83</v>
      </c>
      <c r="I12" s="79" t="s">
        <v>103</v>
      </c>
      <c r="J12" s="79"/>
      <c r="K12" s="80"/>
    </row>
    <row r="13" spans="1:11" ht="197.45" customHeight="1" thickBot="1" x14ac:dyDescent="0.25">
      <c r="A13" s="162" t="s">
        <v>89</v>
      </c>
      <c r="B13" s="26" t="s">
        <v>167</v>
      </c>
      <c r="C13" s="58" t="s">
        <v>79</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91</v>
      </c>
      <c r="F13" s="25" t="s">
        <v>81</v>
      </c>
      <c r="G13" s="25" t="s">
        <v>82</v>
      </c>
      <c r="H13" s="25" t="s">
        <v>83</v>
      </c>
      <c r="I13" s="79" t="s">
        <v>120</v>
      </c>
      <c r="J13" s="79"/>
      <c r="K13" s="80"/>
    </row>
    <row r="14" spans="1:11" ht="83.1" customHeight="1" thickBot="1" x14ac:dyDescent="0.25">
      <c r="A14" s="162" t="s">
        <v>168</v>
      </c>
      <c r="B14" s="26" t="s">
        <v>169</v>
      </c>
      <c r="C14" s="58" t="s">
        <v>87</v>
      </c>
      <c r="D14" s="131" t="str">
        <f>VLOOKUP(A14,'Control Sheet'!_xlnm._FilterDatabase, 2,FALSE)</f>
        <v>Establish an incident response plan and train stakeholders periodically</v>
      </c>
      <c r="E14" s="78" t="s">
        <v>229</v>
      </c>
      <c r="F14" s="25" t="s">
        <v>81</v>
      </c>
      <c r="G14" s="25" t="s">
        <v>82</v>
      </c>
      <c r="H14" s="25" t="s">
        <v>83</v>
      </c>
      <c r="I14" s="79" t="s">
        <v>230</v>
      </c>
      <c r="J14" s="79"/>
      <c r="K14" s="80"/>
    </row>
    <row r="15" spans="1:11" ht="141" customHeight="1" thickBot="1" x14ac:dyDescent="0.25">
      <c r="A15" s="162" t="s">
        <v>96</v>
      </c>
      <c r="B15" s="26" t="s">
        <v>97</v>
      </c>
      <c r="C15" s="58" t="s">
        <v>79</v>
      </c>
      <c r="D15" s="131" t="str">
        <f>VLOOKUP(A15,'Control Sheet'!_xlnm._FilterDatabase, 2,FALSE)</f>
        <v>Follow all regulatory data controls as applicable (NIST 800-171, PCI DSS, GDPR, etc.).</v>
      </c>
      <c r="E15" s="75" t="s">
        <v>170</v>
      </c>
      <c r="F15" s="25" t="s">
        <v>81</v>
      </c>
      <c r="G15" s="25" t="s">
        <v>82</v>
      </c>
      <c r="H15" s="25" t="s">
        <v>83</v>
      </c>
      <c r="I15" s="79" t="s">
        <v>171</v>
      </c>
      <c r="J15" s="79"/>
      <c r="K15" s="80"/>
    </row>
    <row r="16" spans="1:11" ht="74.45" customHeight="1" thickBot="1" x14ac:dyDescent="0.25">
      <c r="A16" s="162" t="s">
        <v>150</v>
      </c>
      <c r="B16" s="26" t="s">
        <v>151</v>
      </c>
      <c r="C16" s="58" t="s">
        <v>87</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152</v>
      </c>
      <c r="F16" s="25" t="s">
        <v>81</v>
      </c>
      <c r="G16" s="25" t="s">
        <v>82</v>
      </c>
      <c r="H16" s="25" t="s">
        <v>83</v>
      </c>
      <c r="I16" s="79" t="s">
        <v>153</v>
      </c>
      <c r="J16" s="79"/>
      <c r="K16" s="80"/>
    </row>
    <row r="17" spans="1:11" ht="96.6" customHeight="1" thickBot="1" x14ac:dyDescent="0.25">
      <c r="A17" s="162" t="s">
        <v>172</v>
      </c>
      <c r="B17" s="26" t="s">
        <v>173</v>
      </c>
      <c r="C17" s="58" t="s">
        <v>79</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174</v>
      </c>
      <c r="F17" s="25" t="s">
        <v>81</v>
      </c>
      <c r="G17" s="25" t="s">
        <v>82</v>
      </c>
      <c r="H17" s="25" t="s">
        <v>83</v>
      </c>
      <c r="I17" s="79" t="s">
        <v>103</v>
      </c>
      <c r="J17" s="79"/>
      <c r="K17" s="80"/>
    </row>
    <row r="18" spans="1:11" ht="84.6" customHeight="1" thickBot="1" x14ac:dyDescent="0.25">
      <c r="A18" s="162" t="s">
        <v>136</v>
      </c>
      <c r="B18" s="26" t="s">
        <v>175</v>
      </c>
      <c r="C18" s="58" t="s">
        <v>79</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75" t="s">
        <v>138</v>
      </c>
      <c r="F18" s="25" t="s">
        <v>81</v>
      </c>
      <c r="G18" s="25" t="s">
        <v>82</v>
      </c>
      <c r="H18" s="25" t="s">
        <v>83</v>
      </c>
      <c r="I18" s="79" t="s">
        <v>95</v>
      </c>
      <c r="J18" s="79"/>
      <c r="K18" s="80"/>
    </row>
    <row r="19" spans="1:11" ht="86.1" customHeight="1" thickBot="1" x14ac:dyDescent="0.25">
      <c r="A19" s="162" t="s">
        <v>176</v>
      </c>
      <c r="B19" s="26" t="s">
        <v>177</v>
      </c>
      <c r="C19" s="58" t="s">
        <v>79</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178</v>
      </c>
      <c r="F19" s="25" t="s">
        <v>81</v>
      </c>
      <c r="G19" s="25" t="s">
        <v>82</v>
      </c>
      <c r="H19" s="25" t="s">
        <v>83</v>
      </c>
      <c r="I19" s="79" t="s">
        <v>103</v>
      </c>
      <c r="J19" s="79"/>
      <c r="K19" s="80"/>
    </row>
    <row r="20" spans="1:11" ht="51.75" thickBot="1" x14ac:dyDescent="0.25">
      <c r="A20" s="162" t="s">
        <v>179</v>
      </c>
      <c r="B20" s="26" t="s">
        <v>180</v>
      </c>
      <c r="C20" s="58" t="s">
        <v>79</v>
      </c>
      <c r="D20" s="131" t="str">
        <f>VLOOKUP(A20,'Control Sheet'!_xlnm._FilterDatabase, 2,FALSE)</f>
        <v>All vendors providing SCADA-like application must provide an SDLA-312 certification</v>
      </c>
      <c r="E20" s="51" t="s">
        <v>181</v>
      </c>
      <c r="F20" s="25" t="s">
        <v>81</v>
      </c>
      <c r="G20" s="25" t="s">
        <v>82</v>
      </c>
      <c r="H20" s="25" t="s">
        <v>83</v>
      </c>
      <c r="I20" s="79" t="s">
        <v>171</v>
      </c>
      <c r="J20" s="79"/>
      <c r="K20" s="80"/>
    </row>
    <row r="21" spans="1:11" ht="30.75" thickBot="1" x14ac:dyDescent="0.25">
      <c r="A21" s="162" t="s">
        <v>142</v>
      </c>
      <c r="B21" s="94" t="s">
        <v>143</v>
      </c>
      <c r="C21" s="153" t="s">
        <v>79</v>
      </c>
      <c r="D21" s="131" t="str">
        <f>VLOOKUP(A21,'Control Sheet'!_xlnm._FilterDatabase, 2,FALSE)</f>
        <v>Production, and non-production environments should be segregated </v>
      </c>
      <c r="E21" s="127" t="s">
        <v>141</v>
      </c>
      <c r="F21" s="25" t="s">
        <v>81</v>
      </c>
      <c r="G21" s="25" t="s">
        <v>82</v>
      </c>
      <c r="H21" s="25" t="s">
        <v>83</v>
      </c>
      <c r="I21" s="79" t="s">
        <v>141</v>
      </c>
      <c r="J21" s="79"/>
      <c r="K21" s="80"/>
    </row>
    <row r="22" spans="1:11" ht="30.75" thickBot="1" x14ac:dyDescent="0.25">
      <c r="A22" s="162" t="s">
        <v>144</v>
      </c>
      <c r="B22" s="94" t="s">
        <v>145</v>
      </c>
      <c r="C22" s="154" t="s">
        <v>79</v>
      </c>
      <c r="D22" s="131" t="str">
        <f>VLOOKUP(A22,'Control Sheet'!_xlnm._FilterDatabase, 2,FALSE)</f>
        <v>Development Environments cannot be exposed to the internet </v>
      </c>
      <c r="E22" s="127" t="s">
        <v>141</v>
      </c>
      <c r="F22" s="25" t="s">
        <v>81</v>
      </c>
      <c r="G22" s="25" t="s">
        <v>82</v>
      </c>
      <c r="H22" s="25" t="s">
        <v>83</v>
      </c>
      <c r="I22" s="79" t="s">
        <v>141</v>
      </c>
      <c r="J22" s="79"/>
      <c r="K22" s="80"/>
    </row>
    <row r="23" spans="1:11" ht="39" thickBot="1" x14ac:dyDescent="0.25">
      <c r="A23" s="162" t="s">
        <v>146</v>
      </c>
      <c r="B23" s="94" t="s">
        <v>147</v>
      </c>
      <c r="C23" s="154" t="s">
        <v>79</v>
      </c>
      <c r="D23" s="131" t="str">
        <f>VLOOKUP(A23,'Control Sheet'!_xlnm._FilterDatabase, 2,FALSE)</f>
        <v>UAT Environments should only be exposed to the internet if full production controls are in place </v>
      </c>
      <c r="E23" s="127" t="s">
        <v>141</v>
      </c>
      <c r="F23" s="25" t="s">
        <v>81</v>
      </c>
      <c r="G23" s="25" t="s">
        <v>82</v>
      </c>
      <c r="H23" s="25" t="s">
        <v>83</v>
      </c>
      <c r="I23" s="79" t="s">
        <v>141</v>
      </c>
      <c r="J23" s="79"/>
      <c r="K23" s="80"/>
    </row>
    <row r="24" spans="1:11" ht="64.5" thickBot="1" x14ac:dyDescent="0.25">
      <c r="A24" s="162" t="s">
        <v>148</v>
      </c>
      <c r="B24" s="94" t="s">
        <v>149</v>
      </c>
      <c r="C24" s="154" t="s">
        <v>79</v>
      </c>
      <c r="D24" s="131" t="str">
        <f>VLOOKUP(A24,'Control Sheet'!_xlnm._FilterDatabase, 2,FALSE)</f>
        <v>Non-Production environments will not have production data especially personally identifiable information without obfuscation or anonymization </v>
      </c>
      <c r="E24" s="127" t="s">
        <v>141</v>
      </c>
      <c r="F24" s="25" t="s">
        <v>81</v>
      </c>
      <c r="G24" s="25" t="s">
        <v>82</v>
      </c>
      <c r="H24" s="25" t="s">
        <v>83</v>
      </c>
      <c r="I24" s="79" t="s">
        <v>141</v>
      </c>
      <c r="J24" s="79"/>
      <c r="K24" s="80"/>
    </row>
    <row r="25" spans="1:11" ht="55.35" customHeight="1" thickBot="1" x14ac:dyDescent="0.25">
      <c r="A25" s="168" t="s">
        <v>154</v>
      </c>
      <c r="B25" s="89" t="s">
        <v>155</v>
      </c>
      <c r="C25" s="25" t="s">
        <v>79</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152</v>
      </c>
      <c r="F25" s="25" t="s">
        <v>81</v>
      </c>
      <c r="G25" s="25" t="s">
        <v>82</v>
      </c>
      <c r="H25" s="25" t="s">
        <v>83</v>
      </c>
      <c r="I25" s="79" t="s">
        <v>153</v>
      </c>
      <c r="J25" s="8"/>
    </row>
    <row r="26" spans="1:11" ht="12.95" customHeight="1" x14ac:dyDescent="0.2">
      <c r="A26" s="39"/>
      <c r="B26" s="26" t="s">
        <v>107</v>
      </c>
      <c r="C26" s="25"/>
      <c r="D26" s="29"/>
      <c r="E26" s="28"/>
      <c r="F26" s="25"/>
      <c r="G26" s="25"/>
      <c r="H26" s="25"/>
      <c r="I26" s="74"/>
      <c r="J26" s="8"/>
    </row>
    <row r="27" spans="1:11" ht="12.95" customHeight="1" x14ac:dyDescent="0.2">
      <c r="A27" s="39"/>
      <c r="B27" s="26" t="s">
        <v>107</v>
      </c>
      <c r="C27" s="25"/>
      <c r="D27" s="29"/>
      <c r="E27" s="28"/>
      <c r="F27" s="25"/>
      <c r="G27" s="25"/>
      <c r="H27" s="25"/>
      <c r="I27" s="74"/>
      <c r="J27" s="8"/>
    </row>
    <row r="28" spans="1:11" ht="12.95" customHeight="1" x14ac:dyDescent="0.2">
      <c r="A28" s="39"/>
      <c r="B28" s="26" t="s">
        <v>107</v>
      </c>
      <c r="C28" s="25"/>
      <c r="D28" s="29"/>
      <c r="E28" s="28"/>
      <c r="F28" s="25"/>
      <c r="G28" s="25"/>
      <c r="H28" s="25"/>
      <c r="I28" s="74"/>
      <c r="J28" s="8"/>
    </row>
    <row r="29" spans="1:11" ht="12.95" customHeight="1" x14ac:dyDescent="0.2">
      <c r="B29" s="10"/>
      <c r="C29" s="11"/>
      <c r="D29" s="227" t="s">
        <v>182</v>
      </c>
      <c r="E29" s="26" t="s">
        <v>109</v>
      </c>
      <c r="F29" s="95">
        <f>COUNTIFS($F$5:$F$28,"COMPLETED")</f>
        <v>0</v>
      </c>
      <c r="G29" s="42">
        <f>COUNTIFS($G$5:$G$28,"yes")</f>
        <v>0</v>
      </c>
      <c r="J29" s="8"/>
    </row>
    <row r="30" spans="1:11" ht="28.5" customHeight="1" x14ac:dyDescent="0.2">
      <c r="D30" s="228"/>
      <c r="E30" s="26" t="s">
        <v>110</v>
      </c>
      <c r="F30" s="95">
        <f>COUNTIFS($F$5:$F$28,"not started")</f>
        <v>21</v>
      </c>
      <c r="G30" s="42">
        <f>COUNTIFS($G$5:$G$28,"TBC")</f>
        <v>21</v>
      </c>
      <c r="J30" s="8"/>
    </row>
    <row r="31" spans="1:11" ht="28.5" customHeight="1" x14ac:dyDescent="0.25">
      <c r="D31" s="228"/>
      <c r="E31" s="26" t="s">
        <v>99</v>
      </c>
      <c r="F31" s="95">
        <f>COUNTIFS($F$5:$F$28,"not applicable")</f>
        <v>0</v>
      </c>
      <c r="G31" s="42">
        <f>COUNTIFS($G$5:$G$28,"not applicable")</f>
        <v>0</v>
      </c>
    </row>
    <row r="32" spans="1:11" ht="28.5" customHeight="1" x14ac:dyDescent="0.25">
      <c r="D32" s="228"/>
      <c r="E32" s="26" t="s">
        <v>111</v>
      </c>
      <c r="F32" s="95">
        <f>COUNTIFS($F$5:$F$28,"in progress")</f>
        <v>0</v>
      </c>
      <c r="G32" s="42">
        <f>COUNTIFS($G$5:$G$28,"in progress")</f>
        <v>0</v>
      </c>
    </row>
    <row r="33" spans="4:7" ht="28.5" customHeight="1" x14ac:dyDescent="0.25">
      <c r="D33" s="229"/>
      <c r="E33" s="26" t="s">
        <v>112</v>
      </c>
      <c r="F33" s="54">
        <f>SUM(F29:F32)</f>
        <v>21</v>
      </c>
      <c r="G33" s="25">
        <f>SUM(G29:G32)</f>
        <v>21</v>
      </c>
    </row>
  </sheetData>
  <mergeCells count="3">
    <mergeCell ref="C1:D1"/>
    <mergeCell ref="D29:D33"/>
    <mergeCell ref="B2:K2"/>
  </mergeCells>
  <hyperlinks>
    <hyperlink ref="J4" r:id="rId1" xr:uid="{BE17B60F-04AC-4B40-9E5D-D3CBC8660149}"/>
    <hyperlink ref="A13" r:id="rId2" xr:uid="{130A56FC-2C8E-4211-A038-58AC6ABCAE15}"/>
    <hyperlink ref="A15" r:id="rId3" xr:uid="{5DDAA31F-07AB-473F-AE6C-F76FC36BDFBB}"/>
    <hyperlink ref="A5" r:id="rId4" xr:uid="{24D50D63-8BC6-4208-9CD9-AC6D8C1889C0}"/>
    <hyperlink ref="A6" r:id="rId5" xr:uid="{A0791786-C2BF-4183-92FF-2671BFAD5AD8}"/>
    <hyperlink ref="A7" r:id="rId6" xr:uid="{FC358521-9249-469E-80F0-42F6AE499F1C}"/>
    <hyperlink ref="A10" r:id="rId7" xr:uid="{4A79D8A3-33FA-4A59-8110-1F84E759E6C6}"/>
    <hyperlink ref="A12" r:id="rId8" xr:uid="{B110CC18-98F4-420C-9AE9-8921E8499A53}"/>
    <hyperlink ref="A21" r:id="rId9" display="BSR-ENV-1.1 " xr:uid="{B8AABBB1-6158-48E9-BB09-C7CBA47CB282}"/>
    <hyperlink ref="A22" r:id="rId10" display="BSR-ENV-1.2 " xr:uid="{3AA92126-A4CC-42C4-BC70-72BDBCAEF939}"/>
    <hyperlink ref="A23" r:id="rId11" display="BSR-ENV-1.3 " xr:uid="{FC8C2039-9E53-45D1-A2F5-DE193DFA32D7}"/>
    <hyperlink ref="A24" r:id="rId12" display="BSR-ENV-1.4 " xr:uid="{69EBED13-1126-41CD-8F3A-4B1EDE8C17DB}"/>
    <hyperlink ref="A9" r:id="rId13" xr:uid="{50BF1DD2-1178-455F-8FBF-9E60E194CE0E}"/>
    <hyperlink ref="A18" r:id="rId14" xr:uid="{480F3B4B-2DC8-44FF-8FBB-65E7C2B9D25F}"/>
    <hyperlink ref="A11" r:id="rId15" xr:uid="{016D3F88-990F-4BCC-8D82-72B47AD3CA26}"/>
    <hyperlink ref="A14" r:id="rId16" xr:uid="{FA252AC8-E90B-4C8B-86CA-6D301012617B}"/>
    <hyperlink ref="A16" r:id="rId17" xr:uid="{877F3695-A690-440B-82D2-E58F5AF44DC7}"/>
    <hyperlink ref="A25" r:id="rId18" xr:uid="{9FF18E63-74AA-4F67-BF85-664861A8BA1E}"/>
    <hyperlink ref="A8" r:id="rId19" xr:uid="{FA8BD1C1-A375-46AE-943E-7382E54BF8E2}"/>
    <hyperlink ref="A17" r:id="rId20" xr:uid="{E0E62AE6-E5FD-4937-A33D-906381E8EF7A}"/>
    <hyperlink ref="A19" r:id="rId21" xr:uid="{9F4F3577-9F69-4194-A8E9-04887B1A0C32}"/>
    <hyperlink ref="A20" r:id="rId22" xr:uid="{C6FFD3D4-4317-43DE-B720-150DD57B839C}"/>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6">
        <x14:dataValidation type="list" allowBlank="1" showInputMessage="1" showErrorMessage="1" xr:uid="{D55F8F99-3A12-4B14-BDCB-16C758892673}">
          <x14:formula1>
            <xm:f>Variables!$I$2:$I$5</xm:f>
          </x14:formula1>
          <xm:sqref>F26:F28 F5:F24</xm:sqref>
        </x14:dataValidation>
        <x14:dataValidation type="list" allowBlank="1" showInputMessage="1" showErrorMessage="1" xr:uid="{EC761601-9239-4DBC-A8AB-604E8DB43A8E}">
          <x14:formula1>
            <xm:f>Variables!$A$2:$A$4</xm:f>
          </x14:formula1>
          <xm:sqref>C26:C28 C5:C24</xm:sqref>
        </x14:dataValidation>
        <x14:dataValidation type="list" allowBlank="1" showInputMessage="1" showErrorMessage="1" xr:uid="{6F3766E1-BB1D-4962-BA55-71AEE4237318}">
          <x14:formula1>
            <xm:f>Variables!$J$2:$J$5</xm:f>
          </x14:formula1>
          <xm:sqref>G26:G28 G5:G24</xm:sqref>
        </x14:dataValidation>
        <x14:dataValidation type="list" allowBlank="1" showInputMessage="1" showErrorMessage="1" xr:uid="{9DB60B67-B089-4A32-A37F-3A74DC514B40}">
          <x14:formula1>
            <xm:f>Variables!$L$2:$L$4</xm:f>
          </x14:formula1>
          <xm:sqref>H26:H28 H5:H24</xm:sqref>
        </x14:dataValidation>
        <x14:dataValidation type="list" showInputMessage="1" showErrorMessage="1" xr:uid="{1DA22308-356E-4D83-B6CA-446C1A37C876}">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 type="list" showInputMessage="1" showErrorMessage="1" xr:uid="{942A5754-3AC0-4391-9499-11394BA5B665}">
          <x14:formula1>
            <xm:f>Variables!#REF!</xm:f>
          </x14:formula1>
          <xm:sqref>F25:H25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5A9FB-1385-4C84-9232-526857B6150F}">
  <sheetPr codeName="Sheet20">
    <tabColor rgb="FF500A78"/>
  </sheetPr>
  <dimension ref="A1:J31"/>
  <sheetViews>
    <sheetView showGridLines="0" tabSelected="1" topLeftCell="A4" zoomScaleNormal="100" workbookViewId="0">
      <selection activeCell="J8" sqref="J8"/>
    </sheetView>
  </sheetViews>
  <sheetFormatPr defaultColWidth="9.140625" defaultRowHeight="24" customHeight="1" x14ac:dyDescent="0.25"/>
  <cols>
    <col min="1" max="1" width="11.140625" style="156" customWidth="1"/>
    <col min="2" max="2" width="17.5703125" style="8" customWidth="1"/>
    <col min="3" max="3" width="42.42578125" style="8" customWidth="1"/>
    <col min="4" max="4" width="15.42578125" style="8" customWidth="1"/>
    <col min="5" max="5" width="15.85546875" style="8" customWidth="1"/>
    <col min="6" max="6" width="22.42578125" style="8" customWidth="1"/>
    <col min="7" max="7" width="22" style="9" customWidth="1"/>
    <col min="8" max="8" width="31.42578125" style="8" bestFit="1" customWidth="1"/>
    <col min="9" max="9" width="25.42578125" style="93" bestFit="1" customWidth="1"/>
    <col min="10" max="10" width="35.5703125" style="9" customWidth="1"/>
    <col min="11" max="16384" width="9.140625" style="8"/>
  </cols>
  <sheetData>
    <row r="1" spans="1:10" ht="12.75" x14ac:dyDescent="0.2">
      <c r="C1" s="173"/>
      <c r="D1" s="173"/>
      <c r="E1" s="173"/>
      <c r="F1" s="9"/>
      <c r="H1" s="9"/>
      <c r="I1" s="8"/>
    </row>
    <row r="2" spans="1:10" ht="18" x14ac:dyDescent="0.25">
      <c r="A2" s="157"/>
      <c r="B2" s="225" t="s">
        <v>183</v>
      </c>
      <c r="C2" s="225"/>
      <c r="D2" s="225"/>
      <c r="E2" s="225"/>
      <c r="F2" s="225"/>
      <c r="G2" s="225"/>
      <c r="H2" s="225"/>
      <c r="I2" s="225"/>
    </row>
    <row r="3" spans="1:10" ht="12.75" x14ac:dyDescent="0.2">
      <c r="A3" s="157"/>
      <c r="G3" s="8"/>
      <c r="I3" s="8"/>
    </row>
    <row r="4" spans="1:10" ht="41.45" customHeight="1" thickBot="1" x14ac:dyDescent="0.25">
      <c r="A4" s="85" t="s">
        <v>66</v>
      </c>
      <c r="B4" s="50" t="s">
        <v>67</v>
      </c>
      <c r="C4" s="50" t="s">
        <v>69</v>
      </c>
      <c r="D4" s="50" t="s">
        <v>70</v>
      </c>
      <c r="E4" s="50" t="s">
        <v>71</v>
      </c>
      <c r="F4" s="50" t="s">
        <v>72</v>
      </c>
      <c r="G4" s="50" t="s">
        <v>73</v>
      </c>
      <c r="H4" s="50" t="s">
        <v>74</v>
      </c>
      <c r="I4" s="113" t="s">
        <v>75</v>
      </c>
      <c r="J4" s="50" t="s">
        <v>76</v>
      </c>
    </row>
    <row r="5" spans="1:10" ht="51.75" thickBot="1" x14ac:dyDescent="0.25">
      <c r="A5" s="162" t="s">
        <v>184</v>
      </c>
      <c r="B5" s="60" t="s">
        <v>185</v>
      </c>
      <c r="C5" s="131" t="str">
        <f>VLOOKUP(A5,'Control Sheet'!_xlnm._FilterDatabase, 2,FALSE)</f>
        <v>Select only those products which meet NG security requirements to include an ISO 27001 (or similar) certification as well as a SOC 2 Type II certification from the datacenter provider they are using</v>
      </c>
      <c r="D5" s="51" t="s">
        <v>181</v>
      </c>
      <c r="E5" s="25" t="s">
        <v>111</v>
      </c>
      <c r="F5" s="25" t="s">
        <v>82</v>
      </c>
      <c r="G5" s="25" t="s">
        <v>83</v>
      </c>
      <c r="H5" s="79" t="s">
        <v>171</v>
      </c>
      <c r="I5" s="79"/>
      <c r="J5" s="174" t="s">
        <v>563</v>
      </c>
    </row>
    <row r="6" spans="1:10" ht="102.75" thickBot="1" x14ac:dyDescent="0.25">
      <c r="A6" s="162" t="s">
        <v>92</v>
      </c>
      <c r="B6" s="60" t="s">
        <v>93</v>
      </c>
      <c r="C6" s="131"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94</v>
      </c>
      <c r="E6" s="25" t="s">
        <v>81</v>
      </c>
      <c r="F6" s="25" t="s">
        <v>82</v>
      </c>
      <c r="G6" s="25" t="s">
        <v>83</v>
      </c>
      <c r="H6" s="79" t="s">
        <v>95</v>
      </c>
      <c r="I6" s="79"/>
      <c r="J6" s="174" t="s">
        <v>566</v>
      </c>
    </row>
    <row r="7" spans="1:10" ht="153.75" thickBot="1" x14ac:dyDescent="0.25">
      <c r="A7" s="162" t="s">
        <v>186</v>
      </c>
      <c r="B7" s="60" t="s">
        <v>187</v>
      </c>
      <c r="C7" s="131"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152</v>
      </c>
      <c r="E7" s="25" t="s">
        <v>81</v>
      </c>
      <c r="F7" s="25" t="s">
        <v>82</v>
      </c>
      <c r="G7" s="25" t="s">
        <v>83</v>
      </c>
      <c r="H7" s="79" t="s">
        <v>103</v>
      </c>
      <c r="I7" s="79"/>
      <c r="J7" s="174" t="s">
        <v>567</v>
      </c>
    </row>
    <row r="8" spans="1:10" ht="90" thickBot="1" x14ac:dyDescent="0.25">
      <c r="A8" s="168" t="s">
        <v>154</v>
      </c>
      <c r="B8" s="60" t="s">
        <v>155</v>
      </c>
      <c r="C8" s="131"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152</v>
      </c>
      <c r="E8" s="25" t="s">
        <v>81</v>
      </c>
      <c r="F8" s="25" t="s">
        <v>82</v>
      </c>
      <c r="G8" s="25" t="s">
        <v>83</v>
      </c>
      <c r="H8" s="79" t="s">
        <v>153</v>
      </c>
      <c r="I8" s="79"/>
      <c r="J8" s="174" t="s">
        <v>575</v>
      </c>
    </row>
    <row r="9" spans="1:10" ht="51.75" thickBot="1" x14ac:dyDescent="0.25">
      <c r="A9" s="162" t="s">
        <v>161</v>
      </c>
      <c r="B9" s="60" t="s">
        <v>162</v>
      </c>
      <c r="C9" s="131" t="str">
        <f>VLOOKUP(A9,'Control Sheet'!_xlnm._FilterDatabase, 2,FALSE)</f>
        <v>Require multi-factor authentication for all interactive application logins off-network</v>
      </c>
      <c r="D9" s="75" t="s">
        <v>163</v>
      </c>
      <c r="E9" s="25" t="s">
        <v>81</v>
      </c>
      <c r="F9" s="25" t="s">
        <v>82</v>
      </c>
      <c r="G9" s="25" t="s">
        <v>83</v>
      </c>
      <c r="H9" s="79" t="s">
        <v>103</v>
      </c>
      <c r="I9" s="79"/>
      <c r="J9" s="174" t="s">
        <v>568</v>
      </c>
    </row>
    <row r="10" spans="1:10" ht="77.25" thickBot="1" x14ac:dyDescent="0.25">
      <c r="A10" s="162" t="s">
        <v>124</v>
      </c>
      <c r="B10" s="60" t="s">
        <v>125</v>
      </c>
      <c r="C10" s="131" t="str">
        <f>VLOOKUP(A10,'Control Sheet'!_xlnm._FilterDatabase, 2,FALSE)</f>
        <v>Forward logs to a remote log server. Logs should be made available to NG CSOC</v>
      </c>
      <c r="D10" s="75" t="s">
        <v>228</v>
      </c>
      <c r="E10" s="25" t="s">
        <v>81</v>
      </c>
      <c r="F10" s="25" t="s">
        <v>82</v>
      </c>
      <c r="G10" s="25" t="s">
        <v>83</v>
      </c>
      <c r="H10" s="79" t="s">
        <v>127</v>
      </c>
      <c r="I10" s="79"/>
      <c r="J10" s="174" t="s">
        <v>569</v>
      </c>
    </row>
    <row r="11" spans="1:10" ht="51.75" thickBot="1" x14ac:dyDescent="0.25">
      <c r="A11" s="162" t="s">
        <v>164</v>
      </c>
      <c r="B11" s="60" t="s">
        <v>165</v>
      </c>
      <c r="C11" s="131" t="str">
        <f>VLOOKUP(A11,'Control Sheet'!_xlnm._FilterDatabase, 2,FALSE)</f>
        <v>Include security as a design requirement. Review all code and correctly identified security flaws prior to deployment. Use of static code analysis tools recommended.</v>
      </c>
      <c r="D11" s="51" t="s">
        <v>166</v>
      </c>
      <c r="E11" s="25" t="s">
        <v>99</v>
      </c>
      <c r="F11" s="25" t="s">
        <v>82</v>
      </c>
      <c r="G11" s="25" t="s">
        <v>83</v>
      </c>
      <c r="H11" s="79" t="s">
        <v>95</v>
      </c>
      <c r="I11" s="79"/>
      <c r="J11" s="158"/>
    </row>
    <row r="12" spans="1:10" ht="26.25" thickBot="1" x14ac:dyDescent="0.25">
      <c r="A12" s="162" t="s">
        <v>283</v>
      </c>
      <c r="B12" s="60" t="s">
        <v>134</v>
      </c>
      <c r="C12" s="131" t="str">
        <f>VLOOKUP(A12,'Control Sheet'!_xlnm._FilterDatabase, 2,FALSE)</f>
        <v>Access administrative accounts only through a Privileged Access Workstation (PAW).</v>
      </c>
      <c r="D12" s="51" t="s">
        <v>227</v>
      </c>
      <c r="E12" s="25" t="s">
        <v>99</v>
      </c>
      <c r="F12" s="25" t="s">
        <v>82</v>
      </c>
      <c r="G12" s="25" t="s">
        <v>83</v>
      </c>
      <c r="H12" s="79" t="s">
        <v>103</v>
      </c>
      <c r="I12" s="79"/>
      <c r="J12" s="158"/>
    </row>
    <row r="13" spans="1:10" ht="192" thickBot="1" x14ac:dyDescent="0.25">
      <c r="A13" s="162" t="s">
        <v>89</v>
      </c>
      <c r="B13" s="60" t="s">
        <v>188</v>
      </c>
      <c r="C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91</v>
      </c>
      <c r="E13" s="25" t="s">
        <v>111</v>
      </c>
      <c r="F13" s="25" t="s">
        <v>82</v>
      </c>
      <c r="G13" s="25" t="s">
        <v>83</v>
      </c>
      <c r="H13" s="79" t="s">
        <v>189</v>
      </c>
      <c r="I13" s="79"/>
      <c r="J13" s="158" t="s">
        <v>564</v>
      </c>
    </row>
    <row r="14" spans="1:10" ht="179.25" thickBot="1" x14ac:dyDescent="0.25">
      <c r="A14" s="162" t="s">
        <v>168</v>
      </c>
      <c r="B14" s="60" t="s">
        <v>190</v>
      </c>
      <c r="C14" s="131" t="str">
        <f>VLOOKUP(A14,'Control Sheet'!_xlnm._FilterDatabase, 2,FALSE)</f>
        <v>Establish an incident response plan and train stakeholders periodically</v>
      </c>
      <c r="D14" s="75" t="s">
        <v>229</v>
      </c>
      <c r="E14" s="25" t="s">
        <v>111</v>
      </c>
      <c r="F14" s="25" t="s">
        <v>82</v>
      </c>
      <c r="G14" s="25" t="s">
        <v>83</v>
      </c>
      <c r="H14" s="79" t="s">
        <v>230</v>
      </c>
      <c r="I14" s="79"/>
      <c r="J14" s="158" t="s">
        <v>565</v>
      </c>
    </row>
    <row r="15" spans="1:10" ht="128.25" thickBot="1" x14ac:dyDescent="0.25">
      <c r="A15" s="162" t="s">
        <v>96</v>
      </c>
      <c r="B15" s="60" t="s">
        <v>97</v>
      </c>
      <c r="C15" s="131" t="str">
        <f>VLOOKUP(A15,'Control Sheet'!_xlnm._FilterDatabase, 2,FALSE)</f>
        <v>Follow all regulatory data controls as applicable (NIST 800-171, PCI DSS, GDPR, etc.).</v>
      </c>
      <c r="D15" s="75" t="s">
        <v>170</v>
      </c>
      <c r="E15" s="25" t="s">
        <v>292</v>
      </c>
      <c r="F15" s="25" t="s">
        <v>82</v>
      </c>
      <c r="G15" s="25" t="s">
        <v>83</v>
      </c>
      <c r="H15" s="79" t="s">
        <v>171</v>
      </c>
      <c r="I15" s="79"/>
      <c r="J15" s="158" t="s">
        <v>570</v>
      </c>
    </row>
    <row r="16" spans="1:10" ht="115.5" thickBot="1" x14ac:dyDescent="0.25">
      <c r="A16" s="162" t="s">
        <v>191</v>
      </c>
      <c r="B16" s="60" t="s">
        <v>192</v>
      </c>
      <c r="C16" s="131" t="str">
        <f>VLOOKUP(A16,'Control Sheet'!_xlnm._FilterDatabase, 2,FALSE)</f>
        <v xml:space="preserve">Integrate the solution with NG CASB
Ensure SAAS/PAAS data leakage protection is enabled </v>
      </c>
      <c r="D16" s="75" t="s">
        <v>193</v>
      </c>
      <c r="E16" s="25" t="s">
        <v>81</v>
      </c>
      <c r="F16" s="25" t="s">
        <v>82</v>
      </c>
      <c r="G16" s="25" t="s">
        <v>83</v>
      </c>
      <c r="H16" s="79" t="s">
        <v>153</v>
      </c>
      <c r="I16" s="79"/>
      <c r="J16" s="174" t="s">
        <v>571</v>
      </c>
    </row>
    <row r="17" spans="1:10" ht="77.25" thickBot="1" x14ac:dyDescent="0.25">
      <c r="A17" s="162" t="s">
        <v>150</v>
      </c>
      <c r="B17" s="94" t="s">
        <v>151</v>
      </c>
      <c r="C17" s="131" t="str">
        <f>VLOOKUP(A17,'Control Sheet'!_xlnm._FilterDatabase, 2,FALSE)</f>
        <v>All encryption keys and certificates to be utilized by the application will be issued by a recognized CA and not self-signed and utilizes the AES cipher of a length no smaller than 256-bit</v>
      </c>
      <c r="D17" s="51" t="s">
        <v>152</v>
      </c>
      <c r="E17" s="25" t="s">
        <v>81</v>
      </c>
      <c r="F17" s="25" t="s">
        <v>82</v>
      </c>
      <c r="G17" s="25" t="s">
        <v>83</v>
      </c>
      <c r="H17" s="79" t="s">
        <v>153</v>
      </c>
      <c r="I17" s="79"/>
      <c r="J17" s="174" t="s">
        <v>572</v>
      </c>
    </row>
    <row r="18" spans="1:10" ht="77.25" thickBot="1" x14ac:dyDescent="0.25">
      <c r="A18" s="162" t="s">
        <v>172</v>
      </c>
      <c r="B18" s="94" t="s">
        <v>173</v>
      </c>
      <c r="C18" s="131"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174</v>
      </c>
      <c r="E18" s="25" t="s">
        <v>99</v>
      </c>
      <c r="F18" s="25" t="s">
        <v>82</v>
      </c>
      <c r="G18" s="25" t="s">
        <v>83</v>
      </c>
      <c r="H18" s="79" t="s">
        <v>103</v>
      </c>
      <c r="I18" s="79"/>
      <c r="J18" s="158"/>
    </row>
    <row r="19" spans="1:10" ht="64.5" thickBot="1" x14ac:dyDescent="0.25">
      <c r="A19" s="162" t="s">
        <v>136</v>
      </c>
      <c r="B19" s="60" t="s">
        <v>194</v>
      </c>
      <c r="C19" s="131"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75" t="s">
        <v>138</v>
      </c>
      <c r="E19" s="25" t="s">
        <v>99</v>
      </c>
      <c r="F19" s="25" t="s">
        <v>82</v>
      </c>
      <c r="G19" s="25" t="s">
        <v>83</v>
      </c>
      <c r="H19" s="79" t="s">
        <v>95</v>
      </c>
      <c r="I19" s="79"/>
      <c r="J19" s="158"/>
    </row>
    <row r="20" spans="1:10" ht="30.75" thickBot="1" x14ac:dyDescent="0.25">
      <c r="A20" s="162" t="s">
        <v>142</v>
      </c>
      <c r="B20" s="94" t="s">
        <v>143</v>
      </c>
      <c r="C20" s="131" t="str">
        <f>VLOOKUP(A20,'Control Sheet'!_xlnm._FilterDatabase, 2,FALSE)</f>
        <v>Production, and non-production environments should be segregated </v>
      </c>
      <c r="D20" s="25" t="s">
        <v>81</v>
      </c>
      <c r="E20" s="25" t="s">
        <v>99</v>
      </c>
      <c r="F20" s="25" t="s">
        <v>83</v>
      </c>
      <c r="G20" s="79" t="s">
        <v>141</v>
      </c>
      <c r="H20" s="79"/>
      <c r="I20" s="79"/>
      <c r="J20" s="158"/>
    </row>
    <row r="21" spans="1:10" ht="30.75" thickBot="1" x14ac:dyDescent="0.25">
      <c r="A21" s="162" t="s">
        <v>144</v>
      </c>
      <c r="B21" s="94" t="s">
        <v>145</v>
      </c>
      <c r="C21" s="131" t="str">
        <f>VLOOKUP(A21,'Control Sheet'!_xlnm._FilterDatabase, 2,FALSE)</f>
        <v>Development Environments cannot be exposed to the internet </v>
      </c>
      <c r="D21" s="25" t="s">
        <v>81</v>
      </c>
      <c r="E21" s="25" t="s">
        <v>99</v>
      </c>
      <c r="F21" s="25" t="s">
        <v>83</v>
      </c>
      <c r="G21" s="79" t="s">
        <v>141</v>
      </c>
      <c r="H21" s="79"/>
      <c r="I21" s="79"/>
      <c r="J21" s="158"/>
    </row>
    <row r="22" spans="1:10" ht="30.75" thickBot="1" x14ac:dyDescent="0.25">
      <c r="A22" s="162" t="s">
        <v>146</v>
      </c>
      <c r="B22" s="94" t="s">
        <v>147</v>
      </c>
      <c r="C22" s="131" t="str">
        <f>VLOOKUP(A22,'Control Sheet'!_xlnm._FilterDatabase, 2,FALSE)</f>
        <v>UAT Environments should only be exposed to the internet if full production controls are in place </v>
      </c>
      <c r="D22" s="25" t="s">
        <v>81</v>
      </c>
      <c r="E22" s="25" t="s">
        <v>99</v>
      </c>
      <c r="F22" s="25" t="s">
        <v>83</v>
      </c>
      <c r="G22" s="79" t="s">
        <v>141</v>
      </c>
      <c r="H22" s="79"/>
      <c r="I22" s="79"/>
      <c r="J22" s="158"/>
    </row>
    <row r="23" spans="1:10" ht="51.75" thickBot="1" x14ac:dyDescent="0.25">
      <c r="A23" s="162" t="s">
        <v>148</v>
      </c>
      <c r="B23" s="94" t="s">
        <v>149</v>
      </c>
      <c r="C23" s="131" t="str">
        <f>VLOOKUP(A23,'Control Sheet'!_xlnm._FilterDatabase, 2,FALSE)</f>
        <v>Non-Production environments will not have production data especially personally identifiable information without obfuscation or anonymization </v>
      </c>
      <c r="D23" s="25" t="s">
        <v>81</v>
      </c>
      <c r="E23" s="25" t="s">
        <v>99</v>
      </c>
      <c r="F23" s="25" t="s">
        <v>83</v>
      </c>
      <c r="G23" s="79" t="s">
        <v>141</v>
      </c>
      <c r="H23" s="79"/>
      <c r="I23" s="79"/>
      <c r="J23" s="158"/>
    </row>
    <row r="24" spans="1:10" ht="38.1" customHeight="1" x14ac:dyDescent="0.2">
      <c r="A24" s="39"/>
      <c r="B24" s="26" t="s">
        <v>107</v>
      </c>
      <c r="C24" s="29"/>
      <c r="D24" s="29"/>
      <c r="E24" s="25"/>
      <c r="F24" s="25"/>
      <c r="G24" s="25"/>
      <c r="H24" s="74"/>
      <c r="I24" s="79"/>
      <c r="J24" s="158"/>
    </row>
    <row r="25" spans="1:10" ht="12.95" customHeight="1" x14ac:dyDescent="0.2">
      <c r="C25" s="227" t="s">
        <v>182</v>
      </c>
      <c r="D25" s="26" t="s">
        <v>109</v>
      </c>
      <c r="E25" s="42">
        <f>COUNTIFS($E$5:$E$24,"completed")</f>
        <v>1</v>
      </c>
      <c r="F25" s="42">
        <f>COUNTIFS($F$5:$F$24,"yes")</f>
        <v>0</v>
      </c>
      <c r="I25" s="8"/>
    </row>
    <row r="26" spans="1:10" ht="12.95" customHeight="1" x14ac:dyDescent="0.2">
      <c r="C26" s="228"/>
      <c r="D26" s="26" t="s">
        <v>110</v>
      </c>
      <c r="E26" s="42">
        <f>COUNTIFS($E$5:$E$24,"not started")</f>
        <v>7</v>
      </c>
      <c r="F26" s="42">
        <f>COUNTIFS($F$5:$F$24,"TBC")</f>
        <v>15</v>
      </c>
      <c r="I26" s="8"/>
    </row>
    <row r="27" spans="1:10" ht="12.95" customHeight="1" x14ac:dyDescent="0.2">
      <c r="C27" s="228"/>
      <c r="D27" s="26" t="s">
        <v>99</v>
      </c>
      <c r="E27" s="42">
        <f>COUNTIFS($E$5:$E$24,"not applicable")</f>
        <v>8</v>
      </c>
      <c r="F27" s="42">
        <f>COUNTIFS($F$5:$F$24,"not applicable")</f>
        <v>0</v>
      </c>
      <c r="I27" s="8"/>
    </row>
    <row r="28" spans="1:10" ht="12.95" customHeight="1" x14ac:dyDescent="0.2">
      <c r="C28" s="228"/>
      <c r="D28" s="26" t="s">
        <v>111</v>
      </c>
      <c r="E28" s="42">
        <f>COUNTIFS($E$5:$E$24,"in progress")</f>
        <v>3</v>
      </c>
      <c r="F28" s="42">
        <f>COUNTIFS($F$5:$F$24,"in progress")</f>
        <v>0</v>
      </c>
      <c r="I28" s="8"/>
    </row>
    <row r="29" spans="1:10" ht="12.95" customHeight="1" x14ac:dyDescent="0.2">
      <c r="C29" s="229"/>
      <c r="D29" s="26" t="s">
        <v>112</v>
      </c>
      <c r="E29" s="25">
        <f>SUM(E25:E28)</f>
        <v>19</v>
      </c>
      <c r="F29" s="25">
        <f>SUM(F25:F28)</f>
        <v>15</v>
      </c>
      <c r="I29" s="8"/>
    </row>
    <row r="30" spans="1:10" ht="24" customHeight="1" x14ac:dyDescent="0.2">
      <c r="I30" s="8"/>
    </row>
    <row r="31" spans="1:10" ht="24" customHeight="1" x14ac:dyDescent="0.2">
      <c r="I31" s="8"/>
    </row>
  </sheetData>
  <mergeCells count="2">
    <mergeCell ref="B2:I2"/>
    <mergeCell ref="C25:C29"/>
  </mergeCells>
  <hyperlinks>
    <hyperlink ref="I4" r:id="rId1" xr:uid="{EDDE9C89-1110-475D-8D6B-029E6BF8BAEA}"/>
    <hyperlink ref="A13" r:id="rId2" xr:uid="{D5C07320-17C1-4AF5-B8ED-0E66F111735A}"/>
    <hyperlink ref="A15" r:id="rId3" xr:uid="{ADFCA480-737C-4EB9-85F9-D839FE9FCD6F}"/>
    <hyperlink ref="A6" r:id="rId4" xr:uid="{C8D9021B-69C7-442A-86F6-BFAAD3808AF5}"/>
    <hyperlink ref="A10" r:id="rId5" xr:uid="{32510D7B-E526-475A-99AC-B4C774D7E78B}"/>
    <hyperlink ref="A12" r:id="rId6" xr:uid="{7C882173-A018-4C78-A9C8-2C805745A545}"/>
    <hyperlink ref="A20" r:id="rId7" display="BSR-ENV-1.1 " xr:uid="{70FE144D-7FD1-4569-958C-5097EADF9C38}"/>
    <hyperlink ref="A21" r:id="rId8" display="BSR-ENV-1.2 " xr:uid="{AA6EBC2A-3DE7-42F0-9CC8-63D1622E2633}"/>
    <hyperlink ref="A22" r:id="rId9" display="BSR-ENV-1.3 " xr:uid="{7975F843-2FA7-49CA-8470-114322C58A49}"/>
    <hyperlink ref="A23" r:id="rId10" display="BSR-ENV-1.4 " xr:uid="{B16F6982-02B6-4919-AB04-E42D63C68CC2}"/>
    <hyperlink ref="A9" r:id="rId11" xr:uid="{897370AC-1AC3-4F94-B1E6-025299A15E3A}"/>
    <hyperlink ref="A19" r:id="rId12" xr:uid="{B403BF8F-EA52-4237-B4C4-60EE7110D2E8}"/>
    <hyperlink ref="A11" r:id="rId13" xr:uid="{0284D706-9766-45E1-A497-78C43FAE213F}"/>
    <hyperlink ref="A5" r:id="rId14" xr:uid="{970737EC-0F48-412C-9DCF-C60C87EF32A8}"/>
    <hyperlink ref="A7" r:id="rId15" xr:uid="{D8AB8DD6-8E59-4A8C-A90C-C0604730CC90}"/>
    <hyperlink ref="A16" r:id="rId16" xr:uid="{68A8D753-C53F-4B37-9949-B38B8F855CF8}"/>
    <hyperlink ref="A14" r:id="rId17" xr:uid="{8ACC32B7-C991-4606-868A-8C9F64678FDC}"/>
    <hyperlink ref="A17" r:id="rId18" xr:uid="{76D2FFDF-5D44-45C0-A515-BB07B321DB4C}"/>
    <hyperlink ref="A8" r:id="rId19" xr:uid="{34C6EFF3-A7A0-41FA-B0B6-42FF6AF0AF10}"/>
    <hyperlink ref="A18" r:id="rId20" xr:uid="{6FBC1563-A9F4-4DF3-8B5C-D9150F1F3805}"/>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count="5">
        <x14:dataValidation type="list" showInputMessage="1" showErrorMessage="1" xr:uid="{12B82BD4-E32A-4EB2-A657-0450ABC781EC}">
          <x14:formula1>
            <xm:f>Variables!$I$2:$I$5</xm:f>
          </x14:formula1>
          <xm:sqref>E5:E19 E24</xm:sqref>
        </x14:dataValidation>
        <x14:dataValidation type="list" showInputMessage="1" showErrorMessage="1" xr:uid="{0C07E91C-D397-4F3F-8F86-17C1689FBE43}">
          <x14:formula1>
            <xm:f>Variables!$J$2:$J$5</xm:f>
          </x14:formula1>
          <xm:sqref>F24</xm:sqref>
        </x14:dataValidation>
        <x14:dataValidation type="list" allowBlank="1" showInputMessage="1" showErrorMessage="1" xr:uid="{FDAB0591-F29F-433E-962D-5A2B8671CB07}">
          <x14:formula1>
            <xm:f>Variables!$I$2:$I$5</xm:f>
          </x14:formula1>
          <xm:sqref>D20:D23</xm:sqref>
        </x14:dataValidation>
        <x14:dataValidation type="list" allowBlank="1" showInputMessage="1" showErrorMessage="1" xr:uid="{4C661960-AC5C-41C8-A74B-A9AAA2900FE6}">
          <x14:formula1>
            <xm:f>Variables!$L$2:$L$4</xm:f>
          </x14:formula1>
          <xm:sqref>G5:G19 G24:G25 F20:F23</xm:sqref>
        </x14:dataValidation>
        <x14:dataValidation type="list" allowBlank="1" showInputMessage="1" showErrorMessage="1" xr:uid="{8673EB93-9252-4570-A112-82DEB6B8E698}">
          <x14:formula1>
            <xm:f>Variables!$J$2:$J$5</xm:f>
          </x14:formula1>
          <xm:sqref>F5:F19 E20:E23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C22DA-BE64-44D4-B3CF-E83B06FAB918}">
  <sheetPr codeName="Sheet21">
    <tabColor rgb="FF55555A"/>
  </sheetPr>
  <dimension ref="A1:J24"/>
  <sheetViews>
    <sheetView showGridLines="0" topLeftCell="B7" zoomScaleNormal="100" workbookViewId="0">
      <selection activeCell="E10" sqref="E10"/>
    </sheetView>
  </sheetViews>
  <sheetFormatPr defaultColWidth="12.42578125" defaultRowHeight="16.5" customHeight="1" x14ac:dyDescent="0.25"/>
  <cols>
    <col min="1" max="1" width="11.5703125" style="159" customWidth="1"/>
    <col min="2" max="2" width="17.5703125" customWidth="1"/>
    <col min="3" max="3" width="65.42578125" bestFit="1" customWidth="1"/>
    <col min="4" max="4" width="20.85546875" customWidth="1"/>
    <col min="5" max="5" width="20.5703125" customWidth="1"/>
    <col min="6" max="6" width="22.140625" customWidth="1"/>
    <col min="7" max="7" width="22" style="9" customWidth="1"/>
    <col min="8" max="8" width="34.5703125" bestFit="1" customWidth="1"/>
    <col min="9" max="9" width="25.42578125" style="93" bestFit="1" customWidth="1"/>
    <col min="10" max="10" width="35.5703125" style="159" customWidth="1"/>
  </cols>
  <sheetData>
    <row r="1" spans="1:10" s="8" customFormat="1" ht="12.75" x14ac:dyDescent="0.2">
      <c r="A1" s="9"/>
      <c r="C1" s="226"/>
      <c r="D1" s="226"/>
      <c r="E1" s="9"/>
      <c r="F1" s="9"/>
      <c r="G1" s="9"/>
      <c r="J1" s="9"/>
    </row>
    <row r="2" spans="1:10" s="8" customFormat="1" ht="18" x14ac:dyDescent="0.25">
      <c r="A2" s="9"/>
      <c r="B2" s="225" t="s">
        <v>195</v>
      </c>
      <c r="C2" s="225"/>
      <c r="D2" s="225"/>
      <c r="E2" s="225"/>
      <c r="F2" s="225"/>
      <c r="G2" s="225"/>
      <c r="H2" s="225"/>
      <c r="I2" s="225"/>
      <c r="J2" s="9"/>
    </row>
    <row r="3" spans="1:10" s="8" customFormat="1" ht="12.75" x14ac:dyDescent="0.2">
      <c r="A3" s="9"/>
      <c r="J3" s="9"/>
    </row>
    <row r="4" spans="1:10" s="8" customFormat="1" ht="41.45" customHeight="1" thickBot="1" x14ac:dyDescent="0.25">
      <c r="A4" s="85" t="s">
        <v>66</v>
      </c>
      <c r="B4" s="50" t="s">
        <v>67</v>
      </c>
      <c r="C4" s="50" t="s">
        <v>69</v>
      </c>
      <c r="D4" s="50" t="s">
        <v>70</v>
      </c>
      <c r="E4" s="50" t="s">
        <v>71</v>
      </c>
      <c r="F4" s="50" t="s">
        <v>72</v>
      </c>
      <c r="G4" s="50" t="s">
        <v>73</v>
      </c>
      <c r="H4" s="50" t="s">
        <v>74</v>
      </c>
      <c r="I4" s="113" t="s">
        <v>75</v>
      </c>
      <c r="J4" s="50" t="s">
        <v>76</v>
      </c>
    </row>
    <row r="5" spans="1:10" s="8" customFormat="1" ht="164.1" customHeight="1" thickBot="1" x14ac:dyDescent="0.25">
      <c r="A5" s="162" t="s">
        <v>196</v>
      </c>
      <c r="B5" s="38" t="s">
        <v>197</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198</v>
      </c>
      <c r="E5" s="25" t="s">
        <v>99</v>
      </c>
      <c r="F5" s="25" t="s">
        <v>82</v>
      </c>
      <c r="G5" s="25" t="s">
        <v>83</v>
      </c>
      <c r="H5" s="79" t="s">
        <v>157</v>
      </c>
      <c r="I5" s="79"/>
      <c r="J5" s="158"/>
    </row>
    <row r="6" spans="1:10" s="8" customFormat="1" ht="92.45" customHeight="1" thickBot="1" x14ac:dyDescent="0.25">
      <c r="A6" s="162" t="s">
        <v>199</v>
      </c>
      <c r="B6" s="38" t="s">
        <v>200</v>
      </c>
      <c r="C6" s="131" t="str">
        <f>VLOOKUP(A6,'Control Sheet'!_xlnm._FilterDatabase, 2,FALSE)</f>
        <v>Web API - Web
Web API/CNI integrated - Isolated Web
Relay Agent - Web
Critical Data in cache - App 
Code execution - App 
Data Store - Database</v>
      </c>
      <c r="D6" s="51" t="s">
        <v>201</v>
      </c>
      <c r="E6" s="25" t="s">
        <v>99</v>
      </c>
      <c r="F6" s="25" t="s">
        <v>82</v>
      </c>
      <c r="G6" s="25" t="s">
        <v>83</v>
      </c>
      <c r="H6" s="79" t="s">
        <v>157</v>
      </c>
      <c r="I6" s="79"/>
      <c r="J6" s="158"/>
    </row>
    <row r="7" spans="1:10" s="8" customFormat="1" ht="82.5" customHeight="1" thickBot="1" x14ac:dyDescent="0.25">
      <c r="A7" s="166" t="s">
        <v>202</v>
      </c>
      <c r="B7" s="38" t="s">
        <v>368</v>
      </c>
      <c r="C7" s="131" t="str">
        <f>VLOOKUP(A7,'Control Sheet'!_xlnm._FilterDatabase, 2,FALSE)</f>
        <v>Ensure that the API based application is centrally authenticated using National Grid OAUTH service 
(Managed by Avanade).</v>
      </c>
      <c r="D7" s="51" t="s">
        <v>204</v>
      </c>
      <c r="E7" s="25" t="s">
        <v>81</v>
      </c>
      <c r="F7" s="25" t="s">
        <v>82</v>
      </c>
      <c r="G7" s="25" t="s">
        <v>83</v>
      </c>
      <c r="H7" s="79" t="s">
        <v>103</v>
      </c>
      <c r="I7" s="79"/>
      <c r="J7" s="174" t="s">
        <v>573</v>
      </c>
    </row>
    <row r="8" spans="1:10" s="8" customFormat="1" ht="122.45" customHeight="1" thickBot="1" x14ac:dyDescent="0.25">
      <c r="A8" s="162" t="s">
        <v>205</v>
      </c>
      <c r="B8" s="38" t="s">
        <v>206</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207</v>
      </c>
      <c r="E8" s="25" t="s">
        <v>81</v>
      </c>
      <c r="F8" s="25" t="s">
        <v>82</v>
      </c>
      <c r="G8" s="25" t="s">
        <v>83</v>
      </c>
      <c r="H8" s="79" t="s">
        <v>157</v>
      </c>
      <c r="I8" s="79"/>
      <c r="J8" s="174" t="s">
        <v>574</v>
      </c>
    </row>
    <row r="9" spans="1:10" s="8" customFormat="1" ht="122.45" customHeight="1" thickBot="1" x14ac:dyDescent="0.25">
      <c r="A9" s="162" t="s">
        <v>208</v>
      </c>
      <c r="B9" s="38" t="s">
        <v>209</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51" t="s">
        <v>210</v>
      </c>
      <c r="E9" s="25" t="s">
        <v>99</v>
      </c>
      <c r="F9" s="25" t="s">
        <v>82</v>
      </c>
      <c r="G9" s="25" t="s">
        <v>83</v>
      </c>
      <c r="H9" s="79" t="s">
        <v>157</v>
      </c>
      <c r="I9" s="79"/>
      <c r="J9" s="158"/>
    </row>
    <row r="10" spans="1:10" s="8" customFormat="1" ht="80.099999999999994" customHeight="1" thickBot="1" x14ac:dyDescent="0.25">
      <c r="A10" s="162" t="s">
        <v>211</v>
      </c>
      <c r="B10" s="38" t="s">
        <v>212</v>
      </c>
      <c r="C10" s="131" t="str">
        <f>VLOOKUP(A10,'Control Sheet'!_xlnm._FilterDatabase, 2,FALSE)</f>
        <v>1.Always enroll your externally published services using Web Application Firewall (NG’s In-house capability - Cloudflare)
OWASP Protection,
Geographical IP Protection (block from Russia, Iran)</v>
      </c>
      <c r="D10" s="51" t="s">
        <v>213</v>
      </c>
      <c r="E10" s="25" t="s">
        <v>99</v>
      </c>
      <c r="F10" s="25" t="s">
        <v>82</v>
      </c>
      <c r="G10" s="25" t="s">
        <v>83</v>
      </c>
      <c r="H10" s="79" t="s">
        <v>157</v>
      </c>
      <c r="I10" s="79"/>
      <c r="J10" s="158"/>
    </row>
    <row r="11" spans="1:10" s="8" customFormat="1" ht="85.5" customHeight="1" thickBot="1" x14ac:dyDescent="0.25">
      <c r="A11" s="162" t="s">
        <v>214</v>
      </c>
      <c r="B11" s="38" t="s">
        <v>215</v>
      </c>
      <c r="C11" s="131" t="str">
        <f>VLOOKUP(A11,'Control Sheet'!_xlnm._FilterDatabase, 2,FALSE)</f>
        <v xml:space="preserve">NG Cloudflare Service can perform client certificate checks, For External assets extend the trust, by Enrolling the external entity with NG Public Key certificate </v>
      </c>
      <c r="D11" s="51" t="s">
        <v>216</v>
      </c>
      <c r="E11" s="25" t="s">
        <v>81</v>
      </c>
      <c r="F11" s="25" t="s">
        <v>82</v>
      </c>
      <c r="G11" s="25" t="s">
        <v>83</v>
      </c>
      <c r="H11" s="79" t="s">
        <v>157</v>
      </c>
      <c r="I11" s="79"/>
      <c r="J11" s="158"/>
    </row>
    <row r="12" spans="1:10" s="8" customFormat="1" ht="107.45" customHeight="1" thickBot="1" x14ac:dyDescent="0.25">
      <c r="A12" s="162" t="s">
        <v>217</v>
      </c>
      <c r="B12" s="38" t="s">
        <v>218</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51" t="s">
        <v>219</v>
      </c>
      <c r="E12" s="25" t="s">
        <v>99</v>
      </c>
      <c r="F12" s="25" t="s">
        <v>82</v>
      </c>
      <c r="G12" s="25" t="s">
        <v>83</v>
      </c>
      <c r="H12" s="79" t="s">
        <v>103</v>
      </c>
      <c r="I12" s="79"/>
      <c r="J12" s="158"/>
    </row>
    <row r="13" spans="1:10" s="8" customFormat="1" ht="77.45" customHeight="1" thickBot="1" x14ac:dyDescent="0.25">
      <c r="A13" s="162" t="s">
        <v>220</v>
      </c>
      <c r="B13" s="38" t="s">
        <v>221</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51" t="s">
        <v>222</v>
      </c>
      <c r="E13" s="25" t="s">
        <v>99</v>
      </c>
      <c r="F13" s="25" t="s">
        <v>82</v>
      </c>
      <c r="G13" s="25" t="s">
        <v>83</v>
      </c>
      <c r="H13" s="79" t="s">
        <v>103</v>
      </c>
      <c r="I13" s="79"/>
      <c r="J13" s="158"/>
    </row>
    <row r="14" spans="1:10" s="8" customFormat="1" ht="90.95" customHeight="1" thickBot="1" x14ac:dyDescent="0.25">
      <c r="A14" s="162" t="s">
        <v>223</v>
      </c>
      <c r="B14" s="38" t="s">
        <v>224</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9" t="s">
        <v>225</v>
      </c>
      <c r="E14" s="25" t="s">
        <v>99</v>
      </c>
      <c r="F14" s="25" t="s">
        <v>82</v>
      </c>
      <c r="G14" s="25" t="s">
        <v>83</v>
      </c>
      <c r="H14" s="79" t="s">
        <v>157</v>
      </c>
      <c r="I14" s="79"/>
      <c r="J14" s="158"/>
    </row>
    <row r="15" spans="1:10" s="8" customFormat="1" ht="25.5" x14ac:dyDescent="0.2">
      <c r="A15" s="158"/>
      <c r="B15" s="26" t="s">
        <v>107</v>
      </c>
      <c r="C15" s="28"/>
      <c r="D15" s="28"/>
      <c r="E15" s="25"/>
      <c r="F15" s="25"/>
      <c r="G15" s="25"/>
      <c r="H15" s="74"/>
      <c r="I15" s="79"/>
      <c r="J15" s="158"/>
    </row>
    <row r="16" spans="1:10" s="8" customFormat="1" ht="25.5" x14ac:dyDescent="0.2">
      <c r="A16" s="158"/>
      <c r="B16" s="26" t="s">
        <v>107</v>
      </c>
      <c r="C16" s="28"/>
      <c r="D16" s="28"/>
      <c r="E16" s="25"/>
      <c r="F16" s="25"/>
      <c r="G16" s="25"/>
      <c r="H16" s="74"/>
      <c r="I16" s="79"/>
      <c r="J16" s="158"/>
    </row>
    <row r="17" spans="1:10" s="8" customFormat="1" ht="25.5" x14ac:dyDescent="0.2">
      <c r="A17" s="158"/>
      <c r="B17" s="26" t="s">
        <v>107</v>
      </c>
      <c r="C17" s="29"/>
      <c r="D17" s="28"/>
      <c r="E17" s="25"/>
      <c r="F17" s="25"/>
      <c r="G17" s="25"/>
      <c r="H17" s="74"/>
      <c r="I17" s="79"/>
      <c r="J17" s="158"/>
    </row>
    <row r="18" spans="1:10" s="8" customFormat="1" ht="25.5" x14ac:dyDescent="0.2">
      <c r="A18" s="158"/>
      <c r="B18" s="26" t="s">
        <v>107</v>
      </c>
      <c r="C18" s="29"/>
      <c r="D18" s="28"/>
      <c r="E18" s="25"/>
      <c r="F18" s="25"/>
      <c r="G18" s="25"/>
      <c r="H18" s="74"/>
      <c r="I18" s="79"/>
      <c r="J18" s="158"/>
    </row>
    <row r="19" spans="1:10" s="8" customFormat="1" ht="25.5" x14ac:dyDescent="0.2">
      <c r="A19" s="158"/>
      <c r="B19" s="26" t="s">
        <v>107</v>
      </c>
      <c r="C19" s="29"/>
      <c r="D19" s="28"/>
      <c r="E19" s="25"/>
      <c r="F19" s="25"/>
      <c r="G19" s="25"/>
      <c r="H19" s="74"/>
      <c r="I19" s="79"/>
      <c r="J19" s="158"/>
    </row>
    <row r="20" spans="1:10" ht="12.95" customHeight="1" x14ac:dyDescent="0.25">
      <c r="B20" s="93"/>
      <c r="C20" s="227" t="s">
        <v>182</v>
      </c>
      <c r="D20" s="26" t="s">
        <v>109</v>
      </c>
      <c r="E20" s="43">
        <f>COUNTIFS($E$5:$E$19,"completed")</f>
        <v>0</v>
      </c>
      <c r="F20" s="43">
        <f>COUNTIFS($F$5:$F$19,"yes")</f>
        <v>0</v>
      </c>
      <c r="H20" s="93"/>
    </row>
    <row r="21" spans="1:10" ht="12.95" customHeight="1" x14ac:dyDescent="0.25">
      <c r="B21" s="93"/>
      <c r="C21" s="228"/>
      <c r="D21" s="26" t="s">
        <v>110</v>
      </c>
      <c r="E21" s="43">
        <f>COUNTIFS($E$5:$E$19,"not started")</f>
        <v>3</v>
      </c>
      <c r="F21" s="43">
        <f>COUNTIFS($F$5:$F$19,"TBC")</f>
        <v>10</v>
      </c>
      <c r="H21" s="93"/>
    </row>
    <row r="22" spans="1:10" ht="12.95" customHeight="1" x14ac:dyDescent="0.25">
      <c r="B22" s="93"/>
      <c r="C22" s="228"/>
      <c r="D22" s="26" t="s">
        <v>99</v>
      </c>
      <c r="E22" s="43">
        <f>COUNTIFS($E$5:$E$19,"not applicable")</f>
        <v>7</v>
      </c>
      <c r="F22" s="43">
        <f>COUNTIFS($F$5:$F$19,"not applicable")</f>
        <v>0</v>
      </c>
      <c r="H22" s="93"/>
    </row>
    <row r="23" spans="1:10" ht="12.95" customHeight="1" x14ac:dyDescent="0.25">
      <c r="B23" s="93"/>
      <c r="C23" s="228"/>
      <c r="D23" s="26" t="s">
        <v>111</v>
      </c>
      <c r="E23" s="43">
        <f>COUNTIFS($E$5:$E$19,"in progress")</f>
        <v>0</v>
      </c>
      <c r="F23" s="43">
        <f>COUNTIFS($F$5:$F$19,"in progress")</f>
        <v>0</v>
      </c>
      <c r="H23" s="93"/>
    </row>
    <row r="24" spans="1:10" ht="12.95" customHeight="1" x14ac:dyDescent="0.25">
      <c r="B24" s="93"/>
      <c r="C24" s="229"/>
      <c r="D24" s="26" t="s">
        <v>112</v>
      </c>
      <c r="E24" s="49">
        <f>SUM(E20:E23)</f>
        <v>10</v>
      </c>
      <c r="F24" s="49">
        <f>SUM(F20:F23)</f>
        <v>10</v>
      </c>
      <c r="H24" s="93"/>
    </row>
  </sheetData>
  <mergeCells count="3">
    <mergeCell ref="C1:D1"/>
    <mergeCell ref="B2:I2"/>
    <mergeCell ref="C20:C24"/>
  </mergeCells>
  <hyperlinks>
    <hyperlink ref="I4" r:id="rId1" xr:uid="{AD5B86FC-BA0C-45A4-88F8-9E4695300EB1}"/>
    <hyperlink ref="A5" r:id="rId2" xr:uid="{B8BD621E-542D-489A-AD7D-E79AC1A6C678}"/>
    <hyperlink ref="A8" r:id="rId3" xr:uid="{7108B17B-BE63-4E13-978F-48FC491AB932}"/>
    <hyperlink ref="A11" r:id="rId4" xr:uid="{3E98C22A-01CD-4F1A-A271-0276035CA158}"/>
    <hyperlink ref="A12" r:id="rId5" xr:uid="{0F0B89FC-47AE-4EDC-AEC5-D813FCFAFB68}"/>
    <hyperlink ref="A13" r:id="rId6" xr:uid="{75496214-6301-41BD-9797-FF47ED9D33C5}"/>
    <hyperlink ref="A14" r:id="rId7" xr:uid="{D1849496-7BE2-4103-9522-147649ABD4F5}"/>
    <hyperlink ref="A6" r:id="rId8" xr:uid="{00BB8124-C02D-42BD-837F-6661DE80DE16}"/>
    <hyperlink ref="A7" r:id="rId9" xr:uid="{3F0A389C-E18B-4363-ADA3-265E97DD35D4}"/>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4">
        <x14:dataValidation type="list" showInputMessage="1" showErrorMessage="1" xr:uid="{64783C2B-329A-4AA1-BB0E-2834E551A8B0}">
          <x14:formula1>
            <xm:f>Variables!$I$2:$I$5</xm:f>
          </x14:formula1>
          <xm:sqref>E5:E19</xm:sqref>
        </x14:dataValidation>
        <x14:dataValidation type="list" showInputMessage="1" showErrorMessage="1" xr:uid="{A3C5C62B-714E-454D-AF98-12430D7CFBB6}">
          <x14:formula1>
            <xm:f>Variables!$J$2:$J$5</xm:f>
          </x14:formula1>
          <xm:sqref>F15:F19</xm:sqref>
        </x14:dataValidation>
        <x14:dataValidation type="list" allowBlank="1" showInputMessage="1" showErrorMessage="1" xr:uid="{34C6CBFE-CF0F-40E3-BEAA-C4B74CCBAEF1}">
          <x14:formula1>
            <xm:f>Variables!$L$2:$L$4</xm:f>
          </x14:formula1>
          <xm:sqref>G5:G19</xm:sqref>
        </x14:dataValidation>
        <x14:dataValidation type="list" allowBlank="1" showInputMessage="1" showErrorMessage="1" xr:uid="{4BFD8B61-0943-4E8D-8967-50FBB4D10049}">
          <x14:formula1>
            <xm:f>Variables!$J$2:$J$5</xm:f>
          </x14:formula1>
          <xm:sqref>F5:F14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8DFDF-2EA3-45A7-BEB0-4EA418232FB8}">
  <sheetPr codeName="Sheet8">
    <tabColor theme="5" tint="-0.249977111117893"/>
  </sheetPr>
  <dimension ref="A1:K36"/>
  <sheetViews>
    <sheetView zoomScaleNormal="100" workbookViewId="0">
      <selection activeCell="D5" sqref="D5"/>
    </sheetView>
  </sheetViews>
  <sheetFormatPr defaultRowHeight="15" x14ac:dyDescent="0.25"/>
  <cols>
    <col min="1" max="1" width="9.140625" style="84"/>
    <col min="2" max="2" width="17.5703125" customWidth="1"/>
    <col min="3" max="3" width="18.5703125" customWidth="1"/>
    <col min="4" max="4" width="42.5703125" customWidth="1"/>
    <col min="5" max="5" width="19.5703125" customWidth="1"/>
    <col min="6" max="6" width="17" bestFit="1" customWidth="1"/>
    <col min="7" max="7" width="23.85546875" customWidth="1"/>
    <col min="8" max="8" width="24.140625" style="8" customWidth="1"/>
    <col min="9" max="9" width="34.5703125" bestFit="1" customWidth="1"/>
    <col min="10" max="10" width="26.5703125" style="93" customWidth="1"/>
    <col min="11" max="11" width="35.5703125" customWidth="1"/>
  </cols>
  <sheetData>
    <row r="1" spans="1:11" s="8" customFormat="1" ht="12.75" x14ac:dyDescent="0.2">
      <c r="D1" s="226"/>
      <c r="E1" s="226"/>
      <c r="F1" s="9"/>
      <c r="G1" s="9"/>
      <c r="H1" s="9"/>
    </row>
    <row r="2" spans="1:11" s="8" customFormat="1" ht="18" x14ac:dyDescent="0.25">
      <c r="B2" s="225" t="s">
        <v>231</v>
      </c>
      <c r="C2" s="225"/>
      <c r="D2" s="225"/>
      <c r="E2" s="225"/>
      <c r="F2" s="225"/>
      <c r="G2" s="225"/>
      <c r="H2" s="225"/>
      <c r="I2" s="225"/>
      <c r="J2" s="225"/>
      <c r="K2" s="225"/>
    </row>
    <row r="3" spans="1:11" s="8" customFormat="1" ht="12.75" x14ac:dyDescent="0.2"/>
    <row r="4" spans="1:11" s="8" customFormat="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s="8" customFormat="1" ht="51.75" thickBot="1" x14ac:dyDescent="0.25">
      <c r="B5" s="38" t="s">
        <v>232</v>
      </c>
      <c r="C5" s="25" t="s">
        <v>79</v>
      </c>
      <c r="D5" s="35" t="s">
        <v>233</v>
      </c>
      <c r="E5" s="51" t="s">
        <v>234</v>
      </c>
      <c r="F5" s="25" t="s">
        <v>81</v>
      </c>
      <c r="G5" s="25" t="s">
        <v>82</v>
      </c>
      <c r="H5" s="25" t="s">
        <v>83</v>
      </c>
      <c r="I5" s="79" t="s">
        <v>235</v>
      </c>
      <c r="J5" s="79"/>
      <c r="K5" s="80"/>
    </row>
    <row r="6" spans="1:11" s="8" customFormat="1" ht="39" thickBot="1" x14ac:dyDescent="0.25">
      <c r="B6" s="38" t="s">
        <v>236</v>
      </c>
      <c r="C6" s="25" t="s">
        <v>79</v>
      </c>
      <c r="D6" s="35" t="s">
        <v>237</v>
      </c>
      <c r="E6" s="51" t="s">
        <v>238</v>
      </c>
      <c r="F6" s="25" t="s">
        <v>81</v>
      </c>
      <c r="G6" s="25" t="s">
        <v>82</v>
      </c>
      <c r="H6" s="25" t="s">
        <v>83</v>
      </c>
      <c r="I6" s="79" t="s">
        <v>235</v>
      </c>
      <c r="J6" s="79"/>
      <c r="K6" s="80"/>
    </row>
    <row r="7" spans="1:11" s="8" customFormat="1" ht="39" thickBot="1" x14ac:dyDescent="0.25">
      <c r="B7" s="38" t="s">
        <v>239</v>
      </c>
      <c r="C7" s="25" t="s">
        <v>79</v>
      </c>
      <c r="D7" s="35" t="s">
        <v>240</v>
      </c>
      <c r="E7" s="51" t="s">
        <v>241</v>
      </c>
      <c r="F7" s="25" t="s">
        <v>81</v>
      </c>
      <c r="G7" s="25" t="s">
        <v>82</v>
      </c>
      <c r="H7" s="25" t="s">
        <v>83</v>
      </c>
      <c r="I7" s="79" t="s">
        <v>235</v>
      </c>
      <c r="J7" s="79"/>
      <c r="K7" s="80"/>
    </row>
    <row r="8" spans="1:11" s="8" customFormat="1" ht="32.1" customHeight="1" thickBot="1" x14ac:dyDescent="0.25">
      <c r="B8" s="38" t="s">
        <v>242</v>
      </c>
      <c r="C8" s="25" t="s">
        <v>79</v>
      </c>
      <c r="D8" s="35" t="s">
        <v>243</v>
      </c>
      <c r="E8" s="51" t="s">
        <v>244</v>
      </c>
      <c r="F8" s="25" t="s">
        <v>81</v>
      </c>
      <c r="G8" s="25" t="s">
        <v>82</v>
      </c>
      <c r="H8" s="25" t="s">
        <v>83</v>
      </c>
      <c r="I8" s="79" t="s">
        <v>235</v>
      </c>
      <c r="J8" s="79"/>
      <c r="K8" s="80"/>
    </row>
    <row r="9" spans="1:11" s="8" customFormat="1" ht="76.5" x14ac:dyDescent="0.2">
      <c r="B9" s="66" t="s">
        <v>245</v>
      </c>
      <c r="C9" s="25" t="s">
        <v>79</v>
      </c>
      <c r="D9" s="35" t="s">
        <v>246</v>
      </c>
      <c r="E9" s="51" t="s">
        <v>244</v>
      </c>
      <c r="F9" s="25" t="s">
        <v>81</v>
      </c>
      <c r="G9" s="25" t="s">
        <v>82</v>
      </c>
      <c r="H9" s="25" t="s">
        <v>83</v>
      </c>
      <c r="I9" s="79" t="s">
        <v>235</v>
      </c>
      <c r="J9" s="79"/>
      <c r="K9" s="80"/>
    </row>
    <row r="10" spans="1:11" s="8" customFormat="1" ht="165.75" x14ac:dyDescent="0.2">
      <c r="B10" s="26" t="s">
        <v>247</v>
      </c>
      <c r="C10" s="62" t="s">
        <v>87</v>
      </c>
      <c r="D10" s="35" t="s">
        <v>248</v>
      </c>
      <c r="E10" s="51" t="s">
        <v>249</v>
      </c>
      <c r="F10" s="25" t="s">
        <v>81</v>
      </c>
      <c r="G10" s="25" t="s">
        <v>82</v>
      </c>
      <c r="H10" s="25" t="s">
        <v>83</v>
      </c>
      <c r="I10" s="79" t="s">
        <v>235</v>
      </c>
      <c r="J10" s="79"/>
      <c r="K10" s="80"/>
    </row>
    <row r="11" spans="1:11" ht="42.6" customHeight="1" x14ac:dyDescent="0.25">
      <c r="A11" s="93"/>
      <c r="B11" s="26" t="s">
        <v>250</v>
      </c>
      <c r="C11" s="62" t="s">
        <v>87</v>
      </c>
      <c r="D11" s="36" t="s">
        <v>251</v>
      </c>
      <c r="E11" s="51" t="s">
        <v>249</v>
      </c>
      <c r="F11" s="25" t="s">
        <v>81</v>
      </c>
      <c r="G11" s="25" t="s">
        <v>82</v>
      </c>
      <c r="H11" s="25" t="s">
        <v>83</v>
      </c>
      <c r="I11" s="79" t="s">
        <v>235</v>
      </c>
      <c r="J11" s="79"/>
      <c r="K11" s="83"/>
    </row>
    <row r="12" spans="1:11" ht="38.25" x14ac:dyDescent="0.25">
      <c r="A12" s="93"/>
      <c r="B12" s="26" t="s">
        <v>252</v>
      </c>
      <c r="C12" s="54" t="s">
        <v>79</v>
      </c>
      <c r="D12" s="36" t="s">
        <v>253</v>
      </c>
      <c r="E12" s="51" t="s">
        <v>254</v>
      </c>
      <c r="F12" s="25" t="s">
        <v>81</v>
      </c>
      <c r="G12" s="25" t="s">
        <v>82</v>
      </c>
      <c r="H12" s="25" t="s">
        <v>83</v>
      </c>
      <c r="I12" s="79" t="s">
        <v>235</v>
      </c>
      <c r="J12" s="79"/>
      <c r="K12" s="83"/>
    </row>
    <row r="13" spans="1:11" ht="51" x14ac:dyDescent="0.25">
      <c r="A13" s="93"/>
      <c r="B13" s="26" t="s">
        <v>255</v>
      </c>
      <c r="C13" s="62" t="s">
        <v>87</v>
      </c>
      <c r="D13" s="36" t="s">
        <v>256</v>
      </c>
      <c r="E13" s="51" t="s">
        <v>257</v>
      </c>
      <c r="F13" s="25" t="s">
        <v>81</v>
      </c>
      <c r="G13" s="25" t="s">
        <v>82</v>
      </c>
      <c r="H13" s="25" t="s">
        <v>83</v>
      </c>
      <c r="I13" s="79" t="s">
        <v>235</v>
      </c>
      <c r="J13" s="79"/>
      <c r="K13" s="83"/>
    </row>
    <row r="14" spans="1:11" ht="38.25" x14ac:dyDescent="0.25">
      <c r="A14" s="93"/>
      <c r="B14" s="26" t="s">
        <v>258</v>
      </c>
      <c r="C14" s="62" t="s">
        <v>87</v>
      </c>
      <c r="D14" s="36" t="s">
        <v>259</v>
      </c>
      <c r="E14" s="61"/>
      <c r="F14" s="25" t="s">
        <v>81</v>
      </c>
      <c r="G14" s="25" t="s">
        <v>82</v>
      </c>
      <c r="H14" s="25" t="s">
        <v>83</v>
      </c>
      <c r="I14" s="79" t="s">
        <v>235</v>
      </c>
      <c r="J14" s="79"/>
      <c r="K14" s="83"/>
    </row>
    <row r="15" spans="1:11" ht="76.5" x14ac:dyDescent="0.25">
      <c r="A15" s="93"/>
      <c r="B15" s="26" t="s">
        <v>260</v>
      </c>
      <c r="C15" s="62" t="s">
        <v>87</v>
      </c>
      <c r="D15" s="36" t="s">
        <v>261</v>
      </c>
      <c r="E15" s="51" t="s">
        <v>249</v>
      </c>
      <c r="F15" s="25" t="s">
        <v>81</v>
      </c>
      <c r="G15" s="25" t="s">
        <v>82</v>
      </c>
      <c r="H15" s="25" t="s">
        <v>83</v>
      </c>
      <c r="I15" s="79" t="s">
        <v>153</v>
      </c>
      <c r="J15" s="79"/>
      <c r="K15" s="83"/>
    </row>
    <row r="16" spans="1:11" ht="140.25" x14ac:dyDescent="0.25">
      <c r="A16" s="93"/>
      <c r="B16" s="26" t="s">
        <v>262</v>
      </c>
      <c r="C16" s="54" t="s">
        <v>79</v>
      </c>
      <c r="D16" s="36" t="s">
        <v>263</v>
      </c>
      <c r="E16" s="51" t="s">
        <v>254</v>
      </c>
      <c r="F16" s="25" t="s">
        <v>81</v>
      </c>
      <c r="G16" s="25" t="s">
        <v>82</v>
      </c>
      <c r="H16" s="25" t="s">
        <v>83</v>
      </c>
      <c r="I16" s="79" t="s">
        <v>235</v>
      </c>
      <c r="J16" s="79"/>
      <c r="K16" s="83"/>
    </row>
    <row r="17" spans="2:11" x14ac:dyDescent="0.25">
      <c r="B17" s="26" t="s">
        <v>264</v>
      </c>
      <c r="C17" s="68" t="s">
        <v>98</v>
      </c>
      <c r="D17" s="68" t="s">
        <v>98</v>
      </c>
      <c r="E17" s="68" t="s">
        <v>98</v>
      </c>
      <c r="F17" s="68" t="s">
        <v>99</v>
      </c>
      <c r="G17" s="68" t="s">
        <v>99</v>
      </c>
      <c r="H17" s="68" t="s">
        <v>98</v>
      </c>
      <c r="I17" s="68" t="s">
        <v>98</v>
      </c>
      <c r="J17" s="68"/>
      <c r="K17" s="83"/>
    </row>
    <row r="18" spans="2:11" ht="25.5" x14ac:dyDescent="0.25">
      <c r="B18" s="26" t="s">
        <v>267</v>
      </c>
      <c r="C18" s="68" t="s">
        <v>98</v>
      </c>
      <c r="D18" s="68" t="s">
        <v>98</v>
      </c>
      <c r="E18" s="68" t="s">
        <v>98</v>
      </c>
      <c r="F18" s="68" t="s">
        <v>99</v>
      </c>
      <c r="G18" s="68" t="s">
        <v>99</v>
      </c>
      <c r="H18" s="68" t="s">
        <v>98</v>
      </c>
      <c r="I18" s="68" t="s">
        <v>98</v>
      </c>
      <c r="J18" s="68"/>
      <c r="K18" s="83"/>
    </row>
    <row r="19" spans="2:11" ht="25.5" x14ac:dyDescent="0.25">
      <c r="B19" s="26" t="s">
        <v>268</v>
      </c>
      <c r="C19" s="68" t="s">
        <v>98</v>
      </c>
      <c r="D19" s="68" t="s">
        <v>98</v>
      </c>
      <c r="E19" s="68" t="s">
        <v>98</v>
      </c>
      <c r="F19" s="68" t="s">
        <v>99</v>
      </c>
      <c r="G19" s="68" t="s">
        <v>99</v>
      </c>
      <c r="H19" s="68" t="s">
        <v>98</v>
      </c>
      <c r="I19" s="68" t="s">
        <v>98</v>
      </c>
      <c r="J19" s="68"/>
      <c r="K19" s="83"/>
    </row>
    <row r="20" spans="2:11" ht="25.5" x14ac:dyDescent="0.25">
      <c r="B20" s="26" t="s">
        <v>270</v>
      </c>
      <c r="C20" s="68" t="s">
        <v>98</v>
      </c>
      <c r="D20" s="68" t="s">
        <v>98</v>
      </c>
      <c r="E20" s="68" t="s">
        <v>98</v>
      </c>
      <c r="F20" s="68" t="s">
        <v>99</v>
      </c>
      <c r="G20" s="68" t="s">
        <v>99</v>
      </c>
      <c r="H20" s="68" t="s">
        <v>98</v>
      </c>
      <c r="I20" s="68" t="s">
        <v>98</v>
      </c>
      <c r="J20" s="68"/>
      <c r="K20" s="83"/>
    </row>
    <row r="21" spans="2:11" ht="51" x14ac:dyDescent="0.25">
      <c r="B21" s="26" t="s">
        <v>271</v>
      </c>
      <c r="C21" s="54" t="s">
        <v>79</v>
      </c>
      <c r="D21" s="36" t="s">
        <v>272</v>
      </c>
      <c r="E21" s="51" t="s">
        <v>273</v>
      </c>
      <c r="F21" s="25" t="s">
        <v>81</v>
      </c>
      <c r="G21" s="25" t="s">
        <v>82</v>
      </c>
      <c r="H21" s="25" t="s">
        <v>83</v>
      </c>
      <c r="I21" s="79" t="s">
        <v>235</v>
      </c>
      <c r="J21" s="79"/>
      <c r="K21" s="83"/>
    </row>
    <row r="22" spans="2:11" ht="25.5" x14ac:dyDescent="0.25">
      <c r="B22" s="26" t="s">
        <v>274</v>
      </c>
      <c r="C22" s="68" t="s">
        <v>98</v>
      </c>
      <c r="D22" s="68" t="s">
        <v>98</v>
      </c>
      <c r="E22" s="68" t="s">
        <v>98</v>
      </c>
      <c r="F22" s="68" t="s">
        <v>99</v>
      </c>
      <c r="G22" s="68" t="s">
        <v>99</v>
      </c>
      <c r="H22" s="68" t="s">
        <v>98</v>
      </c>
      <c r="I22" s="68" t="s">
        <v>98</v>
      </c>
      <c r="J22" s="68"/>
      <c r="K22" s="83"/>
    </row>
    <row r="23" spans="2:11" ht="38.25" x14ac:dyDescent="0.25">
      <c r="B23" s="26" t="s">
        <v>276</v>
      </c>
      <c r="C23" s="68" t="s">
        <v>98</v>
      </c>
      <c r="D23" s="68" t="s">
        <v>98</v>
      </c>
      <c r="E23" s="68" t="s">
        <v>98</v>
      </c>
      <c r="F23" s="68" t="s">
        <v>99</v>
      </c>
      <c r="G23" s="68" t="s">
        <v>99</v>
      </c>
      <c r="H23" s="68" t="s">
        <v>98</v>
      </c>
      <c r="I23" s="68" t="s">
        <v>98</v>
      </c>
      <c r="J23" s="68"/>
      <c r="K23" s="83"/>
    </row>
    <row r="24" spans="2:11" ht="25.5" x14ac:dyDescent="0.25">
      <c r="B24" s="26" t="s">
        <v>278</v>
      </c>
      <c r="C24" s="68" t="s">
        <v>98</v>
      </c>
      <c r="D24" s="68" t="s">
        <v>98</v>
      </c>
      <c r="E24" s="68" t="s">
        <v>98</v>
      </c>
      <c r="F24" s="68" t="s">
        <v>99</v>
      </c>
      <c r="G24" s="68" t="s">
        <v>99</v>
      </c>
      <c r="H24" s="68" t="s">
        <v>98</v>
      </c>
      <c r="I24" s="68" t="s">
        <v>98</v>
      </c>
      <c r="J24" s="68"/>
      <c r="K24" s="83"/>
    </row>
    <row r="25" spans="2:11" ht="63.75" x14ac:dyDescent="0.25">
      <c r="B25" s="26" t="s">
        <v>280</v>
      </c>
      <c r="C25" s="62" t="s">
        <v>87</v>
      </c>
      <c r="D25" s="36" t="s">
        <v>281</v>
      </c>
      <c r="E25" s="51"/>
      <c r="F25" s="25" t="s">
        <v>81</v>
      </c>
      <c r="G25" s="25" t="s">
        <v>82</v>
      </c>
      <c r="H25" s="25" t="s">
        <v>83</v>
      </c>
      <c r="I25" s="79" t="s">
        <v>235</v>
      </c>
      <c r="J25" s="79"/>
      <c r="K25" s="83"/>
    </row>
    <row r="26" spans="2:11" s="8" customFormat="1" ht="25.5" x14ac:dyDescent="0.2">
      <c r="B26" s="26" t="s">
        <v>175</v>
      </c>
      <c r="C26" s="68" t="s">
        <v>98</v>
      </c>
      <c r="D26" s="68" t="s">
        <v>98</v>
      </c>
      <c r="E26" s="68" t="s">
        <v>98</v>
      </c>
      <c r="F26" s="68" t="s">
        <v>99</v>
      </c>
      <c r="G26" s="68" t="s">
        <v>99</v>
      </c>
      <c r="H26" s="68" t="s">
        <v>98</v>
      </c>
      <c r="I26" s="68" t="s">
        <v>98</v>
      </c>
      <c r="J26" s="68"/>
      <c r="K26" s="80"/>
    </row>
    <row r="27" spans="2:11" s="8" customFormat="1" ht="25.5" x14ac:dyDescent="0.2">
      <c r="B27" s="26" t="s">
        <v>107</v>
      </c>
      <c r="C27" s="63"/>
      <c r="D27" s="44"/>
      <c r="E27" s="28"/>
      <c r="F27" s="25"/>
      <c r="G27" s="25"/>
      <c r="H27" s="25"/>
      <c r="I27" s="27"/>
      <c r="J27" s="27"/>
      <c r="K27" s="80"/>
    </row>
    <row r="28" spans="2:11" s="8" customFormat="1" ht="25.5" x14ac:dyDescent="0.2">
      <c r="B28" s="26" t="s">
        <v>107</v>
      </c>
      <c r="C28" s="64"/>
      <c r="D28" s="25"/>
      <c r="E28" s="28"/>
      <c r="F28" s="25"/>
      <c r="G28" s="25"/>
      <c r="H28" s="25"/>
      <c r="I28" s="27"/>
      <c r="J28" s="27"/>
      <c r="K28" s="80"/>
    </row>
    <row r="29" spans="2:11" s="8" customFormat="1" ht="25.5" x14ac:dyDescent="0.2">
      <c r="B29" s="26" t="s">
        <v>107</v>
      </c>
      <c r="C29" s="65"/>
      <c r="D29" s="25"/>
      <c r="E29" s="28"/>
      <c r="F29" s="25"/>
      <c r="G29" s="25"/>
      <c r="H29" s="25"/>
      <c r="I29" s="27"/>
      <c r="J29" s="27"/>
      <c r="K29" s="80"/>
    </row>
    <row r="30" spans="2:11" s="8" customFormat="1" ht="25.5" x14ac:dyDescent="0.2">
      <c r="B30" s="26" t="s">
        <v>107</v>
      </c>
      <c r="C30" s="65"/>
      <c r="D30" s="25"/>
      <c r="E30" s="28"/>
      <c r="F30" s="25"/>
      <c r="G30" s="25"/>
      <c r="H30" s="25"/>
      <c r="I30" s="27"/>
      <c r="J30" s="27"/>
      <c r="K30" s="80"/>
    </row>
    <row r="31" spans="2:11" s="8" customFormat="1" ht="25.5" x14ac:dyDescent="0.2">
      <c r="B31" s="26" t="s">
        <v>107</v>
      </c>
      <c r="C31" s="29"/>
      <c r="D31" s="25"/>
      <c r="E31" s="28"/>
      <c r="F31" s="25"/>
      <c r="G31" s="25"/>
      <c r="H31" s="25"/>
      <c r="I31" s="27"/>
      <c r="J31" s="27"/>
      <c r="K31" s="80"/>
    </row>
    <row r="32" spans="2:11" ht="12.95" customHeight="1" x14ac:dyDescent="0.25">
      <c r="B32" s="93"/>
      <c r="C32" s="93"/>
      <c r="D32" s="227" t="s">
        <v>108</v>
      </c>
      <c r="E32" s="26" t="s">
        <v>109</v>
      </c>
      <c r="F32" s="39">
        <f>COUNTIFS($F$5:$F$31,"Completed")</f>
        <v>0</v>
      </c>
      <c r="G32" s="39">
        <f>COUNTIFS($G$5:$G$31,"YES")</f>
        <v>0</v>
      </c>
      <c r="I32" s="93"/>
      <c r="K32" s="93"/>
    </row>
    <row r="33" spans="4:7" ht="12.95" customHeight="1" x14ac:dyDescent="0.25">
      <c r="D33" s="228"/>
      <c r="E33" s="26" t="s">
        <v>110</v>
      </c>
      <c r="F33" s="39">
        <f>COUNTIFS($F$5:$F$31,"Not started")</f>
        <v>14</v>
      </c>
      <c r="G33" s="39">
        <f>COUNTIFS($G$5:$G$31,"TBC")</f>
        <v>14</v>
      </c>
    </row>
    <row r="34" spans="4:7" ht="12.95" customHeight="1" x14ac:dyDescent="0.25">
      <c r="D34" s="228"/>
      <c r="E34" s="26" t="s">
        <v>99</v>
      </c>
      <c r="F34" s="39">
        <f>COUNTIFS($F$5:$F$31,"NOT APPLICABLE")</f>
        <v>8</v>
      </c>
      <c r="G34" s="39">
        <f>COUNTIFS($G$5:$G$31,"NOT APPLICABLE")</f>
        <v>8</v>
      </c>
    </row>
    <row r="35" spans="4:7" ht="12.95" customHeight="1" x14ac:dyDescent="0.25">
      <c r="D35" s="228"/>
      <c r="E35" s="26" t="s">
        <v>111</v>
      </c>
      <c r="F35" s="39">
        <f>COUNTIFS($F$5:$F$31,"IN PROGRESS")</f>
        <v>0</v>
      </c>
      <c r="G35" s="39">
        <f>COUNTIFS($G$5:$G$31,"IN PROGRESS")</f>
        <v>0</v>
      </c>
    </row>
    <row r="36" spans="4:7" ht="12.95" customHeight="1" x14ac:dyDescent="0.25">
      <c r="D36" s="228"/>
      <c r="E36" s="26" t="s">
        <v>112</v>
      </c>
      <c r="F36" s="97">
        <f>SUM(F32:F35)</f>
        <v>22</v>
      </c>
      <c r="G36" s="97">
        <f>SUM(G32:G35)</f>
        <v>22</v>
      </c>
    </row>
  </sheetData>
  <mergeCells count="3">
    <mergeCell ref="D1:E1"/>
    <mergeCell ref="D32:D36"/>
    <mergeCell ref="B2:K2"/>
  </mergeCells>
  <hyperlinks>
    <hyperlink ref="J4" r:id="rId1" xr:uid="{8664970A-4D8F-4F4C-A73A-4EF00A77ED60}"/>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5">
        <x14:dataValidation type="list" showInputMessage="1" showErrorMessage="1" xr:uid="{A4471A29-CE93-4A48-AC13-6A3CD83CCE94}">
          <x14:formula1>
            <xm:f>Variables!$B$1:$B$3</xm:f>
          </x14:formula1>
          <xm:sqref>D27:D31</xm:sqref>
        </x14:dataValidation>
        <x14:dataValidation type="list" showInputMessage="1" showErrorMessage="1" xr:uid="{EAFA7117-04B0-4817-A774-622DD5B29E39}">
          <x14:formula1>
            <xm:f>Variables!$J$2:$J$5</xm:f>
          </x14:formula1>
          <xm:sqref>G5:G31</xm:sqref>
        </x14:dataValidation>
        <x14:dataValidation type="list" showInputMessage="1" showErrorMessage="1" xr:uid="{21BADFE7-E447-4ACA-B3C6-CE054967A615}">
          <x14:formula1>
            <xm:f>Variables!$L$2:$L$4</xm:f>
          </x14:formula1>
          <xm:sqref>H21 H5:H16 H25 H27:H31</xm:sqref>
        </x14:dataValidation>
        <x14:dataValidation type="list" showInputMessage="1" showErrorMessage="1" xr:uid="{FAF4B04F-7238-43C8-8786-965CCCDE9EC7}">
          <x14:formula1>
            <xm:f>Variables!$A$2:$A$4</xm:f>
          </x14:formula1>
          <xm:sqref>C5:C31</xm:sqref>
        </x14:dataValidation>
        <x14:dataValidation type="list" showInputMessage="1" showErrorMessage="1" xr:uid="{ED7DD079-6D99-4B5C-9822-084399C5B813}">
          <x14:formula1>
            <xm:f>Variables!$I$2:$I$5</xm:f>
          </x14:formula1>
          <xm:sqref>F5:F31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9C4E-6A5E-4B96-B4C3-66E56D89424E}">
  <sheetPr codeName="Sheet25">
    <tabColor rgb="FFFEE634"/>
  </sheetPr>
  <dimension ref="A1:K23"/>
  <sheetViews>
    <sheetView workbookViewId="0">
      <selection activeCell="A11" sqref="A11"/>
    </sheetView>
  </sheetViews>
  <sheetFormatPr defaultColWidth="8.85546875" defaultRowHeight="15" x14ac:dyDescent="0.25"/>
  <cols>
    <col min="1" max="1" width="12.42578125" style="9" customWidth="1"/>
    <col min="2" max="2" width="17.5703125" style="8" customWidth="1"/>
    <col min="3" max="3" width="18.5703125" style="8" customWidth="1"/>
    <col min="4" max="4" width="33.5703125" style="8" bestFit="1" customWidth="1"/>
    <col min="5" max="5" width="18.5703125" style="8" customWidth="1"/>
    <col min="6" max="6" width="17" style="9" bestFit="1" customWidth="1"/>
    <col min="7" max="8" width="22" style="9" customWidth="1"/>
    <col min="9" max="9" width="31" style="8" customWidth="1"/>
    <col min="10" max="10" width="25.42578125" style="8" customWidth="1"/>
    <col min="11" max="11" width="35.5703125" style="8" customWidth="1"/>
    <col min="12" max="16384" width="8.85546875" style="93"/>
  </cols>
  <sheetData>
    <row r="1" spans="1:11" x14ac:dyDescent="0.25">
      <c r="C1" s="226"/>
      <c r="D1" s="226"/>
      <c r="E1" s="173"/>
    </row>
    <row r="2" spans="1:11" ht="18" x14ac:dyDescent="0.25">
      <c r="A2" s="230" t="s">
        <v>369</v>
      </c>
      <c r="B2" s="230"/>
      <c r="C2" s="230"/>
      <c r="D2" s="230"/>
      <c r="E2" s="230"/>
      <c r="F2" s="230"/>
      <c r="G2" s="230"/>
      <c r="H2" s="230"/>
      <c r="I2" s="230"/>
      <c r="J2" s="230"/>
      <c r="K2" s="230"/>
    </row>
    <row r="3" spans="1:11" x14ac:dyDescent="0.25">
      <c r="F3" s="8"/>
      <c r="G3" s="8"/>
      <c r="H3" s="8"/>
    </row>
    <row r="4" spans="1:11" ht="39" customHeight="1" x14ac:dyDescent="0.25">
      <c r="A4" s="85" t="s">
        <v>66</v>
      </c>
      <c r="B4" s="50" t="s">
        <v>67</v>
      </c>
      <c r="C4" s="50" t="s">
        <v>68</v>
      </c>
      <c r="D4" s="50" t="s">
        <v>69</v>
      </c>
      <c r="E4" s="50" t="s">
        <v>70</v>
      </c>
      <c r="F4" s="50" t="s">
        <v>71</v>
      </c>
      <c r="G4" s="50" t="s">
        <v>72</v>
      </c>
      <c r="H4" s="50" t="s">
        <v>73</v>
      </c>
      <c r="I4" s="50" t="s">
        <v>74</v>
      </c>
      <c r="J4" s="125" t="s">
        <v>75</v>
      </c>
      <c r="K4" s="50" t="s">
        <v>76</v>
      </c>
    </row>
    <row r="5" spans="1:11" ht="64.5" thickBot="1" x14ac:dyDescent="0.3">
      <c r="A5" s="162" t="s">
        <v>77</v>
      </c>
      <c r="B5" s="24" t="s">
        <v>78</v>
      </c>
      <c r="C5" s="25" t="s">
        <v>87</v>
      </c>
      <c r="D5" s="28" t="s">
        <v>370</v>
      </c>
      <c r="E5" s="51" t="s">
        <v>371</v>
      </c>
      <c r="F5" s="25" t="s">
        <v>81</v>
      </c>
      <c r="G5" s="25" t="s">
        <v>82</v>
      </c>
      <c r="H5" s="25" t="s">
        <v>83</v>
      </c>
      <c r="I5" s="79" t="s">
        <v>84</v>
      </c>
      <c r="J5" s="79"/>
      <c r="K5" s="80"/>
    </row>
    <row r="6" spans="1:11" ht="77.25" thickBot="1" x14ac:dyDescent="0.3">
      <c r="A6" s="162" t="s">
        <v>184</v>
      </c>
      <c r="B6" s="89" t="s">
        <v>185</v>
      </c>
      <c r="C6" s="25" t="s">
        <v>79</v>
      </c>
      <c r="D6" s="28" t="s">
        <v>372</v>
      </c>
      <c r="E6" s="51" t="s">
        <v>181</v>
      </c>
      <c r="F6" s="25" t="s">
        <v>81</v>
      </c>
      <c r="G6" s="25" t="s">
        <v>82</v>
      </c>
      <c r="H6" s="25" t="s">
        <v>83</v>
      </c>
      <c r="I6" s="79" t="s">
        <v>171</v>
      </c>
      <c r="J6" s="79"/>
      <c r="K6" s="80"/>
    </row>
    <row r="7" spans="1:11" ht="73.349999999999994" customHeight="1" x14ac:dyDescent="0.25">
      <c r="A7" s="97" t="s">
        <v>373</v>
      </c>
      <c r="B7" s="24" t="s">
        <v>374</v>
      </c>
      <c r="C7" s="25" t="s">
        <v>87</v>
      </c>
      <c r="D7" s="28" t="s">
        <v>375</v>
      </c>
      <c r="E7" s="51" t="s">
        <v>376</v>
      </c>
      <c r="F7" s="25" t="s">
        <v>81</v>
      </c>
      <c r="G7" s="25" t="s">
        <v>82</v>
      </c>
      <c r="H7" s="25" t="s">
        <v>83</v>
      </c>
      <c r="I7" s="79" t="s">
        <v>171</v>
      </c>
      <c r="J7" s="79"/>
      <c r="K7" s="80"/>
    </row>
    <row r="8" spans="1:11" ht="69.599999999999994" customHeight="1" x14ac:dyDescent="0.25">
      <c r="A8" s="162" t="s">
        <v>96</v>
      </c>
      <c r="B8" s="26" t="s">
        <v>97</v>
      </c>
      <c r="C8" s="25" t="s">
        <v>87</v>
      </c>
      <c r="D8" s="28" t="s">
        <v>377</v>
      </c>
      <c r="E8" s="51" t="s">
        <v>378</v>
      </c>
      <c r="F8" s="25" t="s">
        <v>81</v>
      </c>
      <c r="G8" s="25" t="s">
        <v>82</v>
      </c>
      <c r="H8" s="25" t="s">
        <v>83</v>
      </c>
      <c r="I8" s="79" t="s">
        <v>171</v>
      </c>
      <c r="J8" s="79"/>
      <c r="K8" s="80"/>
    </row>
    <row r="9" spans="1:11" ht="63.75" x14ac:dyDescent="0.25">
      <c r="A9" s="162" t="s">
        <v>96</v>
      </c>
      <c r="B9" s="26" t="s">
        <v>97</v>
      </c>
      <c r="C9" s="25" t="s">
        <v>87</v>
      </c>
      <c r="D9" s="28" t="s">
        <v>379</v>
      </c>
      <c r="E9" s="51" t="s">
        <v>378</v>
      </c>
      <c r="F9" s="25" t="s">
        <v>81</v>
      </c>
      <c r="G9" s="25" t="s">
        <v>82</v>
      </c>
      <c r="H9" s="25" t="s">
        <v>83</v>
      </c>
      <c r="I9" s="79" t="s">
        <v>171</v>
      </c>
      <c r="J9" s="79"/>
      <c r="K9" s="80"/>
    </row>
    <row r="10" spans="1:11" ht="102" x14ac:dyDescent="0.25">
      <c r="A10" s="97" t="s">
        <v>380</v>
      </c>
      <c r="B10" s="26" t="s">
        <v>381</v>
      </c>
      <c r="C10" s="25" t="s">
        <v>79</v>
      </c>
      <c r="D10" s="53" t="s">
        <v>382</v>
      </c>
      <c r="E10" s="51" t="s">
        <v>383</v>
      </c>
      <c r="F10" s="25" t="s">
        <v>81</v>
      </c>
      <c r="G10" s="25" t="s">
        <v>82</v>
      </c>
      <c r="H10" s="25" t="s">
        <v>83</v>
      </c>
      <c r="I10" s="79" t="s">
        <v>153</v>
      </c>
      <c r="J10" s="79"/>
      <c r="K10" s="80"/>
    </row>
    <row r="11" spans="1:11" ht="89.25" x14ac:dyDescent="0.25">
      <c r="A11" s="162" t="s">
        <v>168</v>
      </c>
      <c r="B11" s="26" t="s">
        <v>190</v>
      </c>
      <c r="C11" s="25" t="s">
        <v>79</v>
      </c>
      <c r="D11" s="53" t="s">
        <v>384</v>
      </c>
      <c r="E11" s="51" t="s">
        <v>385</v>
      </c>
      <c r="F11" s="25" t="s">
        <v>81</v>
      </c>
      <c r="G11" s="25" t="s">
        <v>82</v>
      </c>
      <c r="H11" s="25" t="s">
        <v>83</v>
      </c>
      <c r="I11" s="79" t="s">
        <v>230</v>
      </c>
      <c r="J11" s="79"/>
      <c r="K11" s="80"/>
    </row>
    <row r="12" spans="1:11" ht="51" x14ac:dyDescent="0.25">
      <c r="A12" s="97" t="s">
        <v>386</v>
      </c>
      <c r="B12" s="26" t="s">
        <v>387</v>
      </c>
      <c r="C12" s="25" t="s">
        <v>87</v>
      </c>
      <c r="D12" s="53" t="s">
        <v>388</v>
      </c>
      <c r="E12" s="51" t="s">
        <v>389</v>
      </c>
      <c r="F12" s="25" t="s">
        <v>81</v>
      </c>
      <c r="G12" s="25" t="s">
        <v>82</v>
      </c>
      <c r="H12" s="25" t="s">
        <v>83</v>
      </c>
      <c r="I12" s="79" t="s">
        <v>127</v>
      </c>
      <c r="J12" s="79"/>
      <c r="K12" s="80"/>
    </row>
    <row r="13" spans="1:11" ht="140.25" x14ac:dyDescent="0.25">
      <c r="A13" s="97" t="s">
        <v>390</v>
      </c>
      <c r="B13" s="26" t="s">
        <v>391</v>
      </c>
      <c r="C13" s="25" t="s">
        <v>79</v>
      </c>
      <c r="D13" s="53" t="s">
        <v>392</v>
      </c>
      <c r="E13" s="56" t="s">
        <v>393</v>
      </c>
      <c r="F13" s="25" t="s">
        <v>81</v>
      </c>
      <c r="G13" s="25" t="s">
        <v>82</v>
      </c>
      <c r="H13" s="25" t="s">
        <v>83</v>
      </c>
      <c r="I13" s="79" t="s">
        <v>394</v>
      </c>
      <c r="J13" s="79"/>
      <c r="K13" s="80"/>
    </row>
    <row r="14" spans="1:11" ht="25.5" x14ac:dyDescent="0.25">
      <c r="A14" s="158"/>
      <c r="B14" s="26" t="s">
        <v>107</v>
      </c>
      <c r="C14" s="25"/>
      <c r="D14" s="53"/>
      <c r="E14" s="76"/>
      <c r="F14" s="25"/>
      <c r="G14" s="25"/>
      <c r="H14" s="25"/>
      <c r="I14" s="79"/>
      <c r="J14" s="79"/>
      <c r="K14" s="80"/>
    </row>
    <row r="15" spans="1:11" ht="25.5" x14ac:dyDescent="0.25">
      <c r="A15" s="158"/>
      <c r="B15" s="26" t="s">
        <v>107</v>
      </c>
      <c r="C15" s="25"/>
      <c r="D15" s="53"/>
      <c r="E15" s="28"/>
      <c r="F15" s="25"/>
      <c r="G15" s="25"/>
      <c r="H15" s="25"/>
      <c r="I15" s="79"/>
      <c r="J15" s="79"/>
      <c r="K15" s="80"/>
    </row>
    <row r="16" spans="1:11" ht="25.5" x14ac:dyDescent="0.25">
      <c r="A16" s="158"/>
      <c r="B16" s="26" t="s">
        <v>107</v>
      </c>
      <c r="C16" s="25"/>
      <c r="D16" s="29"/>
      <c r="E16" s="29"/>
      <c r="F16" s="25"/>
      <c r="G16" s="25"/>
      <c r="H16" s="25"/>
      <c r="I16" s="79"/>
      <c r="J16" s="79"/>
      <c r="K16" s="80"/>
    </row>
    <row r="17" spans="1:11" ht="25.5" x14ac:dyDescent="0.25">
      <c r="A17" s="158"/>
      <c r="B17" s="26" t="s">
        <v>107</v>
      </c>
      <c r="C17" s="25"/>
      <c r="D17" s="29"/>
      <c r="E17" s="29"/>
      <c r="F17" s="25"/>
      <c r="G17" s="25"/>
      <c r="H17" s="25"/>
      <c r="I17" s="79"/>
      <c r="J17" s="79"/>
      <c r="K17" s="80"/>
    </row>
    <row r="18" spans="1:11" ht="25.5" x14ac:dyDescent="0.25">
      <c r="A18" s="158"/>
      <c r="B18" s="26" t="s">
        <v>107</v>
      </c>
      <c r="C18" s="25"/>
      <c r="D18" s="29"/>
      <c r="E18" s="29"/>
      <c r="F18" s="25"/>
      <c r="G18" s="25"/>
      <c r="H18" s="25"/>
      <c r="I18" s="79"/>
      <c r="J18" s="79"/>
      <c r="K18" s="80"/>
    </row>
    <row r="19" spans="1:11" x14ac:dyDescent="0.25">
      <c r="D19" s="227" t="s">
        <v>108</v>
      </c>
      <c r="E19" s="26" t="s">
        <v>109</v>
      </c>
      <c r="F19" s="39">
        <f>COUNTIFS($F$5:$F$18,"Completed")</f>
        <v>0</v>
      </c>
      <c r="G19" s="39">
        <f>COUNTIFS($G$5:$G$18,"YES")</f>
        <v>0</v>
      </c>
      <c r="H19" s="102"/>
    </row>
    <row r="20" spans="1:11" x14ac:dyDescent="0.25">
      <c r="D20" s="228"/>
      <c r="E20" s="26" t="s">
        <v>110</v>
      </c>
      <c r="F20" s="39">
        <f>COUNTIFS($F$5:$F$18,"Not started")</f>
        <v>9</v>
      </c>
      <c r="G20" s="39">
        <f>COUNTIFS($G$5:$G$18,"TBC")</f>
        <v>9</v>
      </c>
      <c r="H20" s="102"/>
    </row>
    <row r="21" spans="1:11" x14ac:dyDescent="0.25">
      <c r="D21" s="228"/>
      <c r="E21" s="26" t="s">
        <v>99</v>
      </c>
      <c r="F21" s="39">
        <f>COUNTIFS($F$5:$F$18,"NOT APPLICABLE")</f>
        <v>0</v>
      </c>
      <c r="G21" s="39">
        <f>COUNTIFS($G$5:$G$18,"NOT APPLICABLE")</f>
        <v>0</v>
      </c>
      <c r="H21" s="102"/>
    </row>
    <row r="22" spans="1:11" x14ac:dyDescent="0.25">
      <c r="D22" s="228"/>
      <c r="E22" s="26" t="s">
        <v>111</v>
      </c>
      <c r="F22" s="39">
        <f>COUNTIFS($F$5:$F$18,"IN PROGRESS")</f>
        <v>0</v>
      </c>
      <c r="G22" s="39">
        <f>COUNTIFS($G$5:$G$18,"IN PROGRESS")</f>
        <v>0</v>
      </c>
      <c r="H22" s="102"/>
    </row>
    <row r="23" spans="1:11" x14ac:dyDescent="0.25">
      <c r="D23" s="228"/>
      <c r="E23" s="26" t="s">
        <v>112</v>
      </c>
      <c r="F23" s="97">
        <f>SUM(F19:F22)</f>
        <v>9</v>
      </c>
      <c r="G23" s="97">
        <f>SUM(G19:G22)</f>
        <v>9</v>
      </c>
      <c r="H23" s="103"/>
    </row>
  </sheetData>
  <mergeCells count="3">
    <mergeCell ref="C1:D1"/>
    <mergeCell ref="D19:D23"/>
    <mergeCell ref="A2:K2"/>
  </mergeCells>
  <hyperlinks>
    <hyperlink ref="J4" r:id="rId1" xr:uid="{CE8DB2AC-F501-48F1-8EC9-E74F1F85AF95}"/>
    <hyperlink ref="A5" r:id="rId2" xr:uid="{6F349FEE-A9A8-4179-BCC5-45C3F72FA01F}"/>
    <hyperlink ref="A8" r:id="rId3" xr:uid="{565086D0-5519-4478-A4AC-A0CCC96AA687}"/>
    <hyperlink ref="A9" r:id="rId4" xr:uid="{940948E9-83A0-4008-BB43-383D77D0C0D8}"/>
    <hyperlink ref="A6" r:id="rId5" xr:uid="{43AE7D02-04A8-4A95-9E45-C0242F16FBA2}"/>
    <hyperlink ref="A11" r:id="rId6" xr:uid="{9B4C3BC4-9167-49D9-9524-66F2EE6B56C9}"/>
  </hyperlinks>
  <pageMargins left="0.7" right="0.7" top="0.75" bottom="0.75" header="0.3" footer="0.3"/>
  <legacyDrawing r:id="rId7"/>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D268EB7E-ADC3-4CEC-9E2A-C860928543DE}">
          <x14:formula1>
            <xm:f>Variables!$L$2:$L$4</xm:f>
          </x14:formula1>
          <xm:sqref>H5:H18</xm:sqref>
        </x14:dataValidation>
        <x14:dataValidation type="list" allowBlank="1" showInputMessage="1" showErrorMessage="1" xr:uid="{AB1FCC65-847B-4B13-8634-EDDDC090F7DE}">
          <x14:formula1>
            <xm:f>'C:\Users\shattp\AppData\Local\Microsoft\Windows\INetCache\Content.Outlook\47FPX9SI\[Baseline Security Requirements_v1.53.xlsm]Data Processing'!#REF!</xm:f>
          </x14:formula1>
          <xm:sqref>J6:J18</xm:sqref>
        </x14:dataValidation>
        <x14:dataValidation type="list" allowBlank="1" showInputMessage="1" showErrorMessage="1" xr:uid="{B97D6EBB-CD22-42DB-8A4A-7E20090A1473}">
          <x14:formula1>
            <xm:f>Variables!$A$2:$A$4</xm:f>
          </x14:formula1>
          <xm:sqref>C5:C18</xm:sqref>
        </x14:dataValidation>
        <x14:dataValidation type="list" allowBlank="1" showInputMessage="1" showErrorMessage="1" xr:uid="{B6C0820C-2083-4246-BA95-89B00DA54645}">
          <x14:formula1>
            <xm:f>Variables!$I$2:$I$5</xm:f>
          </x14:formula1>
          <xm:sqref>F5:F18</xm:sqref>
        </x14:dataValidation>
        <x14:dataValidation type="list" allowBlank="1" showInputMessage="1" showErrorMessage="1" xr:uid="{7D17B74B-7AEA-4EC0-9EED-8FFC934EAC65}">
          <x14:formula1>
            <xm:f>Variables!$J$2:$J$5</xm:f>
          </x14:formula1>
          <xm:sqref>G5:G18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55F3B-A7BC-49ED-8EAD-492820C7AA77}">
  <sheetPr codeName="Sheet26">
    <tabColor rgb="FFFEE634"/>
  </sheetPr>
  <dimension ref="A1:K23"/>
  <sheetViews>
    <sheetView topLeftCell="A8" workbookViewId="0">
      <selection activeCell="A10" sqref="A10"/>
    </sheetView>
  </sheetViews>
  <sheetFormatPr defaultColWidth="8.85546875" defaultRowHeight="15" x14ac:dyDescent="0.25"/>
  <cols>
    <col min="1" max="1" width="10.5703125" style="9" customWidth="1"/>
    <col min="2" max="2" width="17.5703125" style="8" customWidth="1"/>
    <col min="3" max="3" width="18.5703125" style="8" customWidth="1"/>
    <col min="4" max="4" width="33.5703125" style="8" customWidth="1"/>
    <col min="5" max="5" width="18.5703125" style="8" customWidth="1"/>
    <col min="6" max="6" width="17" style="9" bestFit="1" customWidth="1"/>
    <col min="7" max="8" width="22" style="9" customWidth="1"/>
    <col min="9" max="9" width="39.5703125" style="8" customWidth="1"/>
    <col min="10" max="10" width="24.42578125" style="8" customWidth="1"/>
    <col min="11" max="11" width="28.5703125" style="120" customWidth="1"/>
    <col min="12" max="16384" width="8.85546875" style="93"/>
  </cols>
  <sheetData>
    <row r="1" spans="1:11" x14ac:dyDescent="0.25">
      <c r="C1" s="226"/>
      <c r="D1" s="226"/>
      <c r="E1" s="173"/>
    </row>
    <row r="2" spans="1:11" ht="18" x14ac:dyDescent="0.25">
      <c r="A2" s="225" t="s">
        <v>369</v>
      </c>
      <c r="B2" s="225"/>
      <c r="C2" s="225"/>
      <c r="D2" s="225"/>
      <c r="E2" s="225"/>
      <c r="F2" s="225"/>
      <c r="G2" s="225"/>
      <c r="H2" s="225"/>
      <c r="I2" s="225"/>
      <c r="J2" s="225"/>
      <c r="K2" s="225"/>
    </row>
    <row r="3" spans="1:11" x14ac:dyDescent="0.25">
      <c r="F3" s="8"/>
      <c r="G3" s="8"/>
      <c r="H3" s="8"/>
    </row>
    <row r="4" spans="1:11" ht="47.1" customHeight="1" x14ac:dyDescent="0.25">
      <c r="A4" s="85" t="s">
        <v>66</v>
      </c>
      <c r="B4" s="50" t="s">
        <v>67</v>
      </c>
      <c r="C4" s="50" t="s">
        <v>68</v>
      </c>
      <c r="D4" s="50" t="s">
        <v>69</v>
      </c>
      <c r="E4" s="50" t="s">
        <v>70</v>
      </c>
      <c r="F4" s="50" t="s">
        <v>71</v>
      </c>
      <c r="G4" s="50" t="s">
        <v>72</v>
      </c>
      <c r="H4" s="50" t="s">
        <v>73</v>
      </c>
      <c r="I4" s="50" t="s">
        <v>74</v>
      </c>
      <c r="J4" s="125" t="s">
        <v>75</v>
      </c>
      <c r="K4" s="50" t="s">
        <v>76</v>
      </c>
    </row>
    <row r="5" spans="1:11" ht="64.5" thickBot="1" x14ac:dyDescent="0.3">
      <c r="A5" s="162" t="s">
        <v>77</v>
      </c>
      <c r="B5" s="24" t="s">
        <v>78</v>
      </c>
      <c r="C5" s="25" t="s">
        <v>87</v>
      </c>
      <c r="D5" s="28" t="s">
        <v>370</v>
      </c>
      <c r="E5" s="51" t="s">
        <v>371</v>
      </c>
      <c r="F5" s="25" t="s">
        <v>81</v>
      </c>
      <c r="G5" s="25" t="s">
        <v>82</v>
      </c>
      <c r="H5" s="25" t="s">
        <v>83</v>
      </c>
      <c r="I5" s="79" t="s">
        <v>84</v>
      </c>
      <c r="J5" s="80"/>
      <c r="K5" s="119"/>
    </row>
    <row r="6" spans="1:11" ht="77.25" thickBot="1" x14ac:dyDescent="0.3">
      <c r="A6" s="163" t="s">
        <v>184</v>
      </c>
      <c r="B6" s="89" t="s">
        <v>185</v>
      </c>
      <c r="C6" s="25" t="s">
        <v>79</v>
      </c>
      <c r="D6" s="28" t="s">
        <v>372</v>
      </c>
      <c r="E6" s="51" t="s">
        <v>181</v>
      </c>
      <c r="F6" s="25" t="s">
        <v>81</v>
      </c>
      <c r="G6" s="25" t="s">
        <v>82</v>
      </c>
      <c r="H6" s="25" t="s">
        <v>83</v>
      </c>
      <c r="I6" s="79" t="s">
        <v>171</v>
      </c>
      <c r="J6" s="80"/>
      <c r="K6" s="119"/>
    </row>
    <row r="7" spans="1:11" ht="73.349999999999994" customHeight="1" x14ac:dyDescent="0.25">
      <c r="A7" s="97" t="s">
        <v>373</v>
      </c>
      <c r="B7" s="24" t="s">
        <v>374</v>
      </c>
      <c r="C7" s="25" t="s">
        <v>87</v>
      </c>
      <c r="D7" s="28" t="s">
        <v>375</v>
      </c>
      <c r="E7" s="51" t="s">
        <v>376</v>
      </c>
      <c r="F7" s="25" t="s">
        <v>81</v>
      </c>
      <c r="G7" s="25" t="s">
        <v>82</v>
      </c>
      <c r="H7" s="25" t="s">
        <v>83</v>
      </c>
      <c r="I7" s="79" t="s">
        <v>171</v>
      </c>
      <c r="J7" s="80"/>
      <c r="K7" s="119"/>
    </row>
    <row r="8" spans="1:11" ht="69.599999999999994" customHeight="1" x14ac:dyDescent="0.25">
      <c r="A8" s="162" t="s">
        <v>96</v>
      </c>
      <c r="B8" s="26" t="s">
        <v>97</v>
      </c>
      <c r="C8" s="25" t="s">
        <v>87</v>
      </c>
      <c r="D8" s="28" t="s">
        <v>377</v>
      </c>
      <c r="E8" s="51" t="s">
        <v>378</v>
      </c>
      <c r="F8" s="25" t="s">
        <v>81</v>
      </c>
      <c r="G8" s="25" t="s">
        <v>82</v>
      </c>
      <c r="H8" s="25" t="s">
        <v>83</v>
      </c>
      <c r="I8" s="79" t="s">
        <v>171</v>
      </c>
      <c r="J8" s="80"/>
      <c r="K8" s="119"/>
    </row>
    <row r="9" spans="1:11" ht="63.75" x14ac:dyDescent="0.25">
      <c r="A9" s="162" t="s">
        <v>96</v>
      </c>
      <c r="B9" s="26" t="s">
        <v>97</v>
      </c>
      <c r="C9" s="118" t="s">
        <v>99</v>
      </c>
      <c r="D9" s="28" t="s">
        <v>379</v>
      </c>
      <c r="E9" s="51" t="s">
        <v>378</v>
      </c>
      <c r="F9" s="118" t="s">
        <v>99</v>
      </c>
      <c r="G9" s="118" t="s">
        <v>99</v>
      </c>
      <c r="H9" s="118" t="s">
        <v>99</v>
      </c>
      <c r="I9" s="118" t="s">
        <v>99</v>
      </c>
      <c r="J9" s="118" t="s">
        <v>99</v>
      </c>
      <c r="K9" s="119"/>
    </row>
    <row r="10" spans="1:11" ht="102" x14ac:dyDescent="0.25">
      <c r="A10" s="97" t="s">
        <v>380</v>
      </c>
      <c r="B10" s="26" t="s">
        <v>381</v>
      </c>
      <c r="C10" s="25" t="s">
        <v>79</v>
      </c>
      <c r="D10" s="53" t="s">
        <v>395</v>
      </c>
      <c r="E10" s="51" t="s">
        <v>383</v>
      </c>
      <c r="F10" s="25" t="s">
        <v>81</v>
      </c>
      <c r="G10" s="25" t="s">
        <v>82</v>
      </c>
      <c r="H10" s="25" t="s">
        <v>83</v>
      </c>
      <c r="I10" s="79" t="s">
        <v>153</v>
      </c>
      <c r="J10" s="80"/>
      <c r="K10" s="119"/>
    </row>
    <row r="11" spans="1:11" ht="89.25" x14ac:dyDescent="0.25">
      <c r="A11" s="162" t="s">
        <v>168</v>
      </c>
      <c r="B11" s="26" t="s">
        <v>190</v>
      </c>
      <c r="C11" s="25" t="s">
        <v>79</v>
      </c>
      <c r="D11" s="53" t="s">
        <v>384</v>
      </c>
      <c r="E11" s="51" t="s">
        <v>385</v>
      </c>
      <c r="F11" s="25" t="s">
        <v>81</v>
      </c>
      <c r="G11" s="25" t="s">
        <v>82</v>
      </c>
      <c r="H11" s="25" t="s">
        <v>83</v>
      </c>
      <c r="I11" s="79" t="s">
        <v>230</v>
      </c>
      <c r="J11" s="80"/>
      <c r="K11" s="119"/>
    </row>
    <row r="12" spans="1:11" ht="51" x14ac:dyDescent="0.25">
      <c r="A12" s="97" t="s">
        <v>386</v>
      </c>
      <c r="B12" s="26" t="s">
        <v>387</v>
      </c>
      <c r="C12" s="25" t="s">
        <v>87</v>
      </c>
      <c r="D12" s="53" t="s">
        <v>388</v>
      </c>
      <c r="E12" s="51" t="s">
        <v>389</v>
      </c>
      <c r="F12" s="25" t="s">
        <v>81</v>
      </c>
      <c r="G12" s="25" t="s">
        <v>82</v>
      </c>
      <c r="H12" s="25" t="s">
        <v>83</v>
      </c>
      <c r="I12" s="79" t="s">
        <v>127</v>
      </c>
      <c r="J12" s="80"/>
      <c r="K12" s="119"/>
    </row>
    <row r="13" spans="1:11" ht="152.1" customHeight="1" x14ac:dyDescent="0.25">
      <c r="A13" s="97" t="s">
        <v>390</v>
      </c>
      <c r="B13" s="26" t="s">
        <v>391</v>
      </c>
      <c r="C13" s="25" t="s">
        <v>79</v>
      </c>
      <c r="D13" s="53" t="s">
        <v>392</v>
      </c>
      <c r="E13" s="56" t="s">
        <v>393</v>
      </c>
      <c r="F13" s="25" t="s">
        <v>81</v>
      </c>
      <c r="G13" s="25" t="s">
        <v>82</v>
      </c>
      <c r="H13" s="25" t="s">
        <v>83</v>
      </c>
      <c r="I13" s="79" t="s">
        <v>394</v>
      </c>
      <c r="J13" s="80"/>
      <c r="K13" s="119"/>
    </row>
    <row r="14" spans="1:11" ht="25.5" x14ac:dyDescent="0.25">
      <c r="A14" s="158"/>
      <c r="B14" s="26" t="s">
        <v>107</v>
      </c>
      <c r="C14" s="25"/>
      <c r="D14" s="53"/>
      <c r="E14" s="76"/>
      <c r="F14" s="25"/>
      <c r="G14" s="25"/>
      <c r="H14" s="25"/>
      <c r="I14" s="79"/>
      <c r="J14" s="80"/>
      <c r="K14" s="119"/>
    </row>
    <row r="15" spans="1:11" ht="25.5" x14ac:dyDescent="0.25">
      <c r="A15" s="158"/>
      <c r="B15" s="26" t="s">
        <v>107</v>
      </c>
      <c r="C15" s="25"/>
      <c r="D15" s="53"/>
      <c r="E15" s="28"/>
      <c r="F15" s="25"/>
      <c r="G15" s="25"/>
      <c r="H15" s="25"/>
      <c r="I15" s="79"/>
      <c r="J15" s="80"/>
      <c r="K15" s="119"/>
    </row>
    <row r="16" spans="1:11" ht="25.5" x14ac:dyDescent="0.25">
      <c r="A16" s="158"/>
      <c r="B16" s="26" t="s">
        <v>107</v>
      </c>
      <c r="C16" s="25"/>
      <c r="D16" s="29"/>
      <c r="E16" s="29"/>
      <c r="F16" s="25"/>
      <c r="G16" s="25"/>
      <c r="H16" s="25"/>
      <c r="I16" s="79"/>
      <c r="J16" s="80"/>
      <c r="K16" s="119"/>
    </row>
    <row r="17" spans="1:11" ht="25.5" x14ac:dyDescent="0.25">
      <c r="A17" s="158"/>
      <c r="B17" s="26" t="s">
        <v>107</v>
      </c>
      <c r="C17" s="25"/>
      <c r="D17" s="29"/>
      <c r="E17" s="29"/>
      <c r="F17" s="25"/>
      <c r="G17" s="25"/>
      <c r="H17" s="25"/>
      <c r="I17" s="79"/>
      <c r="J17" s="80"/>
      <c r="K17" s="119"/>
    </row>
    <row r="18" spans="1:11" ht="25.5" x14ac:dyDescent="0.25">
      <c r="A18" s="158"/>
      <c r="B18" s="26" t="s">
        <v>107</v>
      </c>
      <c r="C18" s="25"/>
      <c r="D18" s="29"/>
      <c r="E18" s="29"/>
      <c r="F18" s="25"/>
      <c r="G18" s="25"/>
      <c r="H18" s="25"/>
      <c r="I18" s="79"/>
      <c r="J18" s="80"/>
      <c r="K18" s="119"/>
    </row>
    <row r="19" spans="1:11" x14ac:dyDescent="0.25">
      <c r="D19" s="227" t="s">
        <v>108</v>
      </c>
      <c r="E19" s="26" t="s">
        <v>109</v>
      </c>
      <c r="F19" s="39">
        <f>COUNTIFS($F$5:$F$18,"Completed")</f>
        <v>0</v>
      </c>
      <c r="G19" s="39">
        <f>COUNTIFS($G$5:$G$18,"YES")</f>
        <v>0</v>
      </c>
      <c r="H19" s="102"/>
    </row>
    <row r="20" spans="1:11" x14ac:dyDescent="0.25">
      <c r="D20" s="228"/>
      <c r="E20" s="26" t="s">
        <v>110</v>
      </c>
      <c r="F20" s="39">
        <f>COUNTIFS($F$5:$F$18,"Not started")</f>
        <v>8</v>
      </c>
      <c r="G20" s="39">
        <f>COUNTIFS($G$5:$G$18,"TBC")</f>
        <v>8</v>
      </c>
      <c r="H20" s="102"/>
    </row>
    <row r="21" spans="1:11" x14ac:dyDescent="0.25">
      <c r="D21" s="228"/>
      <c r="E21" s="26" t="s">
        <v>99</v>
      </c>
      <c r="F21" s="39">
        <f>COUNTIFS($F$5:$F$18,"NOT APPLICABLE")</f>
        <v>1</v>
      </c>
      <c r="G21" s="39">
        <f>COUNTIFS($G$5:$G$18,"NOT APPLICABLE")</f>
        <v>1</v>
      </c>
      <c r="H21" s="102"/>
    </row>
    <row r="22" spans="1:11" x14ac:dyDescent="0.25">
      <c r="D22" s="228"/>
      <c r="E22" s="26" t="s">
        <v>111</v>
      </c>
      <c r="F22" s="39">
        <f>COUNTIFS($F$5:$F$18,"IN PROGRESS")</f>
        <v>0</v>
      </c>
      <c r="G22" s="39">
        <f>COUNTIFS($G$5:$G$18,"IN PROGRESS")</f>
        <v>0</v>
      </c>
      <c r="H22" s="102"/>
    </row>
    <row r="23" spans="1:11" x14ac:dyDescent="0.25">
      <c r="D23" s="228"/>
      <c r="E23" s="26" t="s">
        <v>112</v>
      </c>
      <c r="F23" s="97">
        <f>SUM(F19:F22)</f>
        <v>9</v>
      </c>
      <c r="G23" s="97">
        <f>SUM(G19:G22)</f>
        <v>9</v>
      </c>
      <c r="H23" s="103"/>
    </row>
  </sheetData>
  <mergeCells count="3">
    <mergeCell ref="C1:D1"/>
    <mergeCell ref="D19:D23"/>
    <mergeCell ref="A2:K2"/>
  </mergeCells>
  <hyperlinks>
    <hyperlink ref="J4" r:id="rId1" xr:uid="{233F0127-A250-452D-9C22-8477E172CE45}"/>
    <hyperlink ref="A5" r:id="rId2" xr:uid="{5F2CC4C6-86AA-42A2-A2F7-8EF87B301E85}"/>
    <hyperlink ref="A8" r:id="rId3" xr:uid="{C990849F-4303-4431-A64E-60D94AFC6C02}"/>
    <hyperlink ref="A9" r:id="rId4" xr:uid="{5202855E-0ECC-45CE-AC77-E71E77D7B488}"/>
    <hyperlink ref="A6" r:id="rId5" xr:uid="{87A2A838-3FAF-4790-9E9C-395E63C55958}"/>
    <hyperlink ref="A11" r:id="rId6" xr:uid="{A31C10F2-2114-4423-8F0B-76FE6143B0D7}"/>
  </hyperlinks>
  <pageMargins left="0.7" right="0.7" top="0.75" bottom="0.75" header="0.3" footer="0.3"/>
  <legacyDrawing r:id="rId7"/>
  <extLst>
    <ext xmlns:x14="http://schemas.microsoft.com/office/spreadsheetml/2009/9/main" uri="{CCE6A557-97BC-4b89-ADB6-D9C93CAAB3DF}">
      <x14:dataValidations xmlns:xm="http://schemas.microsoft.com/office/excel/2006/main" count="6">
        <x14:dataValidation type="list" allowBlank="1" showInputMessage="1" showErrorMessage="1" xr:uid="{B38B8793-DD54-4CE1-A063-72F13CEFEDD5}">
          <x14:formula1>
            <xm:f>'C:\Users\shattp\AppData\Local\Microsoft\Windows\INetCache\Content.Outlook\47FPX9SI\[Baseline Security Requirements_v1.53.xlsm]Data Processing'!#REF!</xm:f>
          </x14:formula1>
          <xm:sqref>I14:I18</xm:sqref>
        </x14:dataValidation>
        <x14:dataValidation type="list" allowBlank="1" showInputMessage="1" showErrorMessage="1" xr:uid="{C9366527-586C-46F3-AF16-9B62BE722E50}">
          <x14:formula1>
            <xm:f>'C:\Users\shattp\AppData\Local\Microsoft\Windows\INetCache\Content.Outlook\47FPX9SI\[Baseline Security Requirements_v1.53.xlsm]Variables'!#REF!</xm:f>
          </x14:formula1>
          <xm:sqref>C14:C18</xm:sqref>
        </x14:dataValidation>
        <x14:dataValidation type="list" allowBlank="1" showInputMessage="1" showErrorMessage="1" xr:uid="{67CB28CF-51E8-4245-8EB8-6EBF73C1E9DD}">
          <x14:formula1>
            <xm:f>Variables!$I$2:$I$5</xm:f>
          </x14:formula1>
          <xm:sqref>F5:F18</xm:sqref>
        </x14:dataValidation>
        <x14:dataValidation type="list" allowBlank="1" showInputMessage="1" showErrorMessage="1" xr:uid="{11D17504-6EB6-439F-ACDF-53138291E959}">
          <x14:formula1>
            <xm:f>Variables!$J$2:$J$5</xm:f>
          </x14:formula1>
          <xm:sqref>G5:G18</xm:sqref>
        </x14:dataValidation>
        <x14:dataValidation type="list" allowBlank="1" showInputMessage="1" showErrorMessage="1" xr:uid="{0406F9BE-B866-41F8-9CBD-F14C3A39D620}">
          <x14:formula1>
            <xm:f>Variables!$A$2:$A$4</xm:f>
          </x14:formula1>
          <xm:sqref>C5:C13</xm:sqref>
        </x14:dataValidation>
        <x14:dataValidation type="list" allowBlank="1" showInputMessage="1" showErrorMessage="1" xr:uid="{5FAE6B76-DFE5-422D-82DB-444B4B844260}">
          <x14:formula1>
            <xm:f>Variables!$L$2:$L$4</xm:f>
          </x14:formula1>
          <xm:sqref>H5:H18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04EE3-6767-4C42-964A-49853E7D5014}">
  <sheetPr codeName="Sheet27">
    <tabColor rgb="FFFEE634"/>
  </sheetPr>
  <dimension ref="A1:K23"/>
  <sheetViews>
    <sheetView workbookViewId="0">
      <selection activeCell="A11" sqref="A11"/>
    </sheetView>
  </sheetViews>
  <sheetFormatPr defaultColWidth="8.85546875" defaultRowHeight="15" x14ac:dyDescent="0.25"/>
  <cols>
    <col min="1" max="1" width="11.42578125" style="9" customWidth="1"/>
    <col min="2" max="2" width="17.5703125" style="8" customWidth="1"/>
    <col min="3" max="3" width="18.5703125" style="8" customWidth="1"/>
    <col min="4" max="4" width="33.5703125" style="8" customWidth="1"/>
    <col min="5" max="5" width="18.5703125" style="8" customWidth="1"/>
    <col min="6" max="6" width="17" style="9" bestFit="1" customWidth="1"/>
    <col min="7" max="8" width="22" style="9" customWidth="1"/>
    <col min="9" max="9" width="39.5703125" style="8" customWidth="1"/>
    <col min="10" max="10" width="23.42578125" style="8" customWidth="1"/>
    <col min="11" max="11" width="27.85546875" style="120" customWidth="1"/>
    <col min="12" max="16384" width="8.85546875" style="93"/>
  </cols>
  <sheetData>
    <row r="1" spans="1:11" x14ac:dyDescent="0.25">
      <c r="C1" s="226"/>
      <c r="D1" s="226"/>
      <c r="E1" s="173"/>
    </row>
    <row r="2" spans="1:11" ht="18" x14ac:dyDescent="0.25">
      <c r="A2" s="225" t="s">
        <v>369</v>
      </c>
      <c r="B2" s="225"/>
      <c r="C2" s="225"/>
      <c r="D2" s="225"/>
      <c r="E2" s="225"/>
      <c r="F2" s="225"/>
      <c r="G2" s="225"/>
      <c r="H2" s="225"/>
      <c r="I2" s="225"/>
      <c r="J2" s="225"/>
      <c r="K2" s="225"/>
    </row>
    <row r="3" spans="1:11" x14ac:dyDescent="0.25">
      <c r="F3" s="8"/>
      <c r="G3" s="8"/>
      <c r="H3" s="8"/>
    </row>
    <row r="4" spans="1:11" ht="44.1" customHeight="1" x14ac:dyDescent="0.25">
      <c r="A4" s="85" t="s">
        <v>66</v>
      </c>
      <c r="B4" s="50" t="s">
        <v>67</v>
      </c>
      <c r="C4" s="50" t="s">
        <v>68</v>
      </c>
      <c r="D4" s="50" t="s">
        <v>69</v>
      </c>
      <c r="E4" s="50" t="s">
        <v>70</v>
      </c>
      <c r="F4" s="50" t="s">
        <v>71</v>
      </c>
      <c r="G4" s="50" t="s">
        <v>72</v>
      </c>
      <c r="H4" s="50" t="s">
        <v>73</v>
      </c>
      <c r="I4" s="50" t="s">
        <v>74</v>
      </c>
      <c r="J4" s="125" t="s">
        <v>75</v>
      </c>
      <c r="K4" s="50" t="s">
        <v>76</v>
      </c>
    </row>
    <row r="5" spans="1:11" ht="64.5" thickBot="1" x14ac:dyDescent="0.3">
      <c r="A5" s="162" t="s">
        <v>77</v>
      </c>
      <c r="B5" s="24" t="s">
        <v>78</v>
      </c>
      <c r="C5" s="118" t="s">
        <v>99</v>
      </c>
      <c r="D5" s="28" t="s">
        <v>370</v>
      </c>
      <c r="E5" s="51" t="s">
        <v>371</v>
      </c>
      <c r="F5" s="118" t="s">
        <v>99</v>
      </c>
      <c r="G5" s="118" t="s">
        <v>99</v>
      </c>
      <c r="H5" s="118" t="s">
        <v>99</v>
      </c>
      <c r="I5" s="118" t="s">
        <v>99</v>
      </c>
      <c r="J5" s="118" t="s">
        <v>99</v>
      </c>
      <c r="K5" s="80"/>
    </row>
    <row r="6" spans="1:11" ht="77.25" thickBot="1" x14ac:dyDescent="0.3">
      <c r="A6" s="162" t="s">
        <v>184</v>
      </c>
      <c r="B6" s="89" t="s">
        <v>185</v>
      </c>
      <c r="C6" s="25" t="s">
        <v>79</v>
      </c>
      <c r="D6" s="28" t="s">
        <v>372</v>
      </c>
      <c r="E6" s="51" t="s">
        <v>181</v>
      </c>
      <c r="F6" s="25" t="s">
        <v>81</v>
      </c>
      <c r="G6" s="25" t="s">
        <v>82</v>
      </c>
      <c r="H6" s="25" t="s">
        <v>83</v>
      </c>
      <c r="I6" s="79" t="s">
        <v>171</v>
      </c>
      <c r="J6" s="80"/>
      <c r="K6" s="80"/>
    </row>
    <row r="7" spans="1:11" ht="73.349999999999994" customHeight="1" x14ac:dyDescent="0.25">
      <c r="A7" s="97" t="s">
        <v>373</v>
      </c>
      <c r="B7" s="24" t="s">
        <v>374</v>
      </c>
      <c r="C7" s="25" t="s">
        <v>87</v>
      </c>
      <c r="D7" s="28" t="s">
        <v>375</v>
      </c>
      <c r="E7" s="51" t="s">
        <v>376</v>
      </c>
      <c r="F7" s="25" t="s">
        <v>81</v>
      </c>
      <c r="G7" s="25" t="s">
        <v>82</v>
      </c>
      <c r="H7" s="25" t="s">
        <v>83</v>
      </c>
      <c r="I7" s="79" t="s">
        <v>171</v>
      </c>
      <c r="J7" s="80"/>
      <c r="K7" s="80"/>
    </row>
    <row r="8" spans="1:11" ht="84" customHeight="1" x14ac:dyDescent="0.25">
      <c r="A8" s="162" t="s">
        <v>96</v>
      </c>
      <c r="B8" s="26" t="s">
        <v>97</v>
      </c>
      <c r="C8" s="118" t="s">
        <v>99</v>
      </c>
      <c r="D8" s="28" t="s">
        <v>396</v>
      </c>
      <c r="E8" s="51" t="s">
        <v>378</v>
      </c>
      <c r="F8" s="118" t="s">
        <v>99</v>
      </c>
      <c r="G8" s="118" t="s">
        <v>99</v>
      </c>
      <c r="H8" s="118" t="s">
        <v>99</v>
      </c>
      <c r="I8" s="118" t="s">
        <v>99</v>
      </c>
      <c r="J8" s="118" t="s">
        <v>99</v>
      </c>
      <c r="K8" s="80"/>
    </row>
    <row r="9" spans="1:11" ht="63.75" x14ac:dyDescent="0.25">
      <c r="A9" s="162" t="s">
        <v>96</v>
      </c>
      <c r="B9" s="26" t="s">
        <v>97</v>
      </c>
      <c r="C9" s="118" t="s">
        <v>99</v>
      </c>
      <c r="D9" s="28" t="s">
        <v>397</v>
      </c>
      <c r="E9" s="51" t="s">
        <v>378</v>
      </c>
      <c r="F9" s="118" t="s">
        <v>99</v>
      </c>
      <c r="G9" s="118" t="s">
        <v>99</v>
      </c>
      <c r="H9" s="118" t="s">
        <v>99</v>
      </c>
      <c r="I9" s="118" t="s">
        <v>99</v>
      </c>
      <c r="J9" s="118" t="s">
        <v>99</v>
      </c>
      <c r="K9" s="80"/>
    </row>
    <row r="10" spans="1:11" ht="102" x14ac:dyDescent="0.25">
      <c r="A10" s="97" t="s">
        <v>380</v>
      </c>
      <c r="B10" s="26" t="s">
        <v>381</v>
      </c>
      <c r="C10" s="25" t="s">
        <v>79</v>
      </c>
      <c r="D10" s="53" t="s">
        <v>398</v>
      </c>
      <c r="E10" s="51" t="s">
        <v>383</v>
      </c>
      <c r="F10" s="25" t="s">
        <v>81</v>
      </c>
      <c r="G10" s="25" t="s">
        <v>82</v>
      </c>
      <c r="H10" s="25" t="s">
        <v>83</v>
      </c>
      <c r="I10" s="79" t="s">
        <v>153</v>
      </c>
      <c r="J10" s="80"/>
      <c r="K10" s="80"/>
    </row>
    <row r="11" spans="1:11" ht="89.25" x14ac:dyDescent="0.25">
      <c r="A11" s="162" t="s">
        <v>168</v>
      </c>
      <c r="B11" s="26" t="s">
        <v>190</v>
      </c>
      <c r="C11" s="25" t="s">
        <v>79</v>
      </c>
      <c r="D11" s="53" t="s">
        <v>399</v>
      </c>
      <c r="E11" s="51" t="s">
        <v>385</v>
      </c>
      <c r="F11" s="25" t="s">
        <v>81</v>
      </c>
      <c r="G11" s="25" t="s">
        <v>82</v>
      </c>
      <c r="H11" s="25" t="s">
        <v>83</v>
      </c>
      <c r="I11" s="79" t="s">
        <v>230</v>
      </c>
      <c r="J11" s="80"/>
      <c r="K11" s="80"/>
    </row>
    <row r="12" spans="1:11" ht="51" x14ac:dyDescent="0.25">
      <c r="A12" s="97" t="s">
        <v>386</v>
      </c>
      <c r="B12" s="26" t="s">
        <v>387</v>
      </c>
      <c r="C12" s="25" t="s">
        <v>87</v>
      </c>
      <c r="D12" s="53" t="s">
        <v>388</v>
      </c>
      <c r="E12" s="51" t="s">
        <v>389</v>
      </c>
      <c r="F12" s="25" t="s">
        <v>81</v>
      </c>
      <c r="G12" s="25" t="s">
        <v>82</v>
      </c>
      <c r="H12" s="25" t="s">
        <v>83</v>
      </c>
      <c r="I12" s="79" t="s">
        <v>127</v>
      </c>
      <c r="J12" s="80"/>
      <c r="K12" s="80"/>
    </row>
    <row r="13" spans="1:11" ht="140.25" x14ac:dyDescent="0.25">
      <c r="A13" s="97" t="s">
        <v>390</v>
      </c>
      <c r="B13" s="26" t="s">
        <v>391</v>
      </c>
      <c r="C13" s="25" t="s">
        <v>79</v>
      </c>
      <c r="D13" s="121" t="s">
        <v>392</v>
      </c>
      <c r="E13" s="56" t="s">
        <v>393</v>
      </c>
      <c r="F13" s="25" t="s">
        <v>81</v>
      </c>
      <c r="G13" s="25" t="s">
        <v>82</v>
      </c>
      <c r="H13" s="25" t="s">
        <v>83</v>
      </c>
      <c r="I13" s="79" t="s">
        <v>394</v>
      </c>
      <c r="J13" s="80"/>
      <c r="K13" s="80"/>
    </row>
    <row r="14" spans="1:11" ht="25.5" x14ac:dyDescent="0.25">
      <c r="A14" s="158"/>
      <c r="B14" s="26" t="s">
        <v>107</v>
      </c>
      <c r="C14" s="25"/>
      <c r="D14" s="53"/>
      <c r="E14" s="76"/>
      <c r="F14" s="25"/>
      <c r="G14" s="25"/>
      <c r="H14" s="25"/>
      <c r="I14" s="79"/>
      <c r="J14" s="80"/>
      <c r="K14" s="80"/>
    </row>
    <row r="15" spans="1:11" ht="25.5" x14ac:dyDescent="0.25">
      <c r="A15" s="158"/>
      <c r="B15" s="26" t="s">
        <v>107</v>
      </c>
      <c r="C15" s="25"/>
      <c r="D15" s="53"/>
      <c r="E15" s="28"/>
      <c r="F15" s="25"/>
      <c r="G15" s="25"/>
      <c r="H15" s="25"/>
      <c r="I15" s="79"/>
      <c r="J15" s="80"/>
      <c r="K15" s="80"/>
    </row>
    <row r="16" spans="1:11" ht="25.5" x14ac:dyDescent="0.25">
      <c r="A16" s="158"/>
      <c r="B16" s="26" t="s">
        <v>107</v>
      </c>
      <c r="C16" s="25"/>
      <c r="D16" s="29"/>
      <c r="E16" s="29"/>
      <c r="F16" s="25"/>
      <c r="G16" s="25"/>
      <c r="H16" s="25"/>
      <c r="I16" s="79"/>
      <c r="J16" s="80"/>
      <c r="K16" s="80"/>
    </row>
    <row r="17" spans="1:11" ht="25.5" x14ac:dyDescent="0.25">
      <c r="A17" s="158"/>
      <c r="B17" s="26" t="s">
        <v>107</v>
      </c>
      <c r="C17" s="25"/>
      <c r="D17" s="29"/>
      <c r="E17" s="29"/>
      <c r="F17" s="25"/>
      <c r="G17" s="25"/>
      <c r="H17" s="25"/>
      <c r="I17" s="79"/>
      <c r="J17" s="80"/>
      <c r="K17" s="80"/>
    </row>
    <row r="18" spans="1:11" ht="25.5" x14ac:dyDescent="0.25">
      <c r="A18" s="158"/>
      <c r="B18" s="26" t="s">
        <v>107</v>
      </c>
      <c r="C18" s="25"/>
      <c r="D18" s="29"/>
      <c r="E18" s="29"/>
      <c r="F18" s="25"/>
      <c r="G18" s="25"/>
      <c r="H18" s="25"/>
      <c r="I18" s="79"/>
      <c r="J18" s="80"/>
      <c r="K18" s="80"/>
    </row>
    <row r="19" spans="1:11" x14ac:dyDescent="0.25">
      <c r="D19" s="227" t="s">
        <v>108</v>
      </c>
      <c r="E19" s="26" t="s">
        <v>109</v>
      </c>
      <c r="F19" s="39">
        <f>COUNTIFS($F$5:$F$18,"Completed")</f>
        <v>0</v>
      </c>
      <c r="G19" s="39">
        <f>COUNTIFS($G$5:$G$18,"YES")</f>
        <v>0</v>
      </c>
      <c r="H19" s="102"/>
    </row>
    <row r="20" spans="1:11" x14ac:dyDescent="0.25">
      <c r="D20" s="228"/>
      <c r="E20" s="26" t="s">
        <v>110</v>
      </c>
      <c r="F20" s="39">
        <f>COUNTIFS($F$5:$F$18,"Not started")</f>
        <v>6</v>
      </c>
      <c r="G20" s="39">
        <f>COUNTIFS($G$5:$G$18,"TBC")</f>
        <v>6</v>
      </c>
      <c r="H20" s="102"/>
    </row>
    <row r="21" spans="1:11" x14ac:dyDescent="0.25">
      <c r="D21" s="228"/>
      <c r="E21" s="26" t="s">
        <v>99</v>
      </c>
      <c r="F21" s="39">
        <f>COUNTIFS($F$5:$F$18,"NOT APPLICABLE")</f>
        <v>3</v>
      </c>
      <c r="G21" s="39">
        <f>COUNTIFS($G$5:$G$18,"NOT APPLICABLE")</f>
        <v>3</v>
      </c>
      <c r="H21" s="102"/>
    </row>
    <row r="22" spans="1:11" x14ac:dyDescent="0.25">
      <c r="D22" s="228"/>
      <c r="E22" s="26" t="s">
        <v>111</v>
      </c>
      <c r="F22" s="39">
        <f>COUNTIFS($F$5:$F$18,"IN PROGRESS")</f>
        <v>0</v>
      </c>
      <c r="G22" s="39">
        <f>COUNTIFS($G$5:$G$18,"IN PROGRESS")</f>
        <v>0</v>
      </c>
      <c r="H22" s="102"/>
    </row>
    <row r="23" spans="1:11" x14ac:dyDescent="0.25">
      <c r="D23" s="228"/>
      <c r="E23" s="26" t="s">
        <v>112</v>
      </c>
      <c r="F23" s="97">
        <f>SUM(F19:F22)</f>
        <v>9</v>
      </c>
      <c r="G23" s="97">
        <f>SUM(G19:G22)</f>
        <v>9</v>
      </c>
      <c r="H23" s="103"/>
    </row>
  </sheetData>
  <mergeCells count="3">
    <mergeCell ref="C1:D1"/>
    <mergeCell ref="D19:D23"/>
    <mergeCell ref="A2:K2"/>
  </mergeCells>
  <hyperlinks>
    <hyperlink ref="J4" r:id="rId1" xr:uid="{A5D8925A-7C6E-41DC-9088-57056F241635}"/>
    <hyperlink ref="A5" r:id="rId2" xr:uid="{C1B98CA8-8A40-47FB-A335-064D8694564F}"/>
    <hyperlink ref="A8" r:id="rId3" xr:uid="{5ABFC550-72E6-422C-9888-3B64B12EB5A8}"/>
    <hyperlink ref="A9" r:id="rId4" xr:uid="{1168CA04-D336-45F9-8576-F27054C52CEF}"/>
    <hyperlink ref="A6" r:id="rId5" xr:uid="{8883803F-C65B-4D83-8B54-B66781B0E418}"/>
    <hyperlink ref="A11" r:id="rId6" xr:uid="{00F7A323-CC28-48B3-A86B-7487BB6BFECE}"/>
  </hyperlinks>
  <pageMargins left="0.7" right="0.7" top="0.75" bottom="0.75" header="0.3" footer="0.3"/>
  <legacyDrawing r:id="rId7"/>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6BF8A9EB-DDF7-4E84-8AE0-0EC95EBA8CA0}">
          <x14:formula1>
            <xm:f>'C:\Users\shattp\AppData\Local\Microsoft\Windows\INetCache\Content.Outlook\47FPX9SI\[Baseline Security Requirements_v1.53.xlsm]Data Processing'!#REF!</xm:f>
          </x14:formula1>
          <xm:sqref>I14:I18</xm:sqref>
        </x14:dataValidation>
        <x14:dataValidation type="list" allowBlank="1" showInputMessage="1" showErrorMessage="1" xr:uid="{292328AA-258B-4D0D-B10E-86A8A1906B79}">
          <x14:formula1>
            <xm:f>Variables!$A$2:$A$4</xm:f>
          </x14:formula1>
          <xm:sqref>C5:C18</xm:sqref>
        </x14:dataValidation>
        <x14:dataValidation type="list" allowBlank="1" showInputMessage="1" showErrorMessage="1" xr:uid="{2978A279-25C5-49FA-A3AE-76B8AFB5B43A}">
          <x14:formula1>
            <xm:f>Variables!$I$2:$I$5</xm:f>
          </x14:formula1>
          <xm:sqref>F5:F18</xm:sqref>
        </x14:dataValidation>
        <x14:dataValidation type="list" allowBlank="1" showInputMessage="1" showErrorMessage="1" xr:uid="{76EE4395-329F-438F-989D-160867724F98}">
          <x14:formula1>
            <xm:f>Variables!$J$2:$J$5</xm:f>
          </x14:formula1>
          <xm:sqref>G5:G18</xm:sqref>
        </x14:dataValidation>
        <x14:dataValidation type="list" allowBlank="1" showInputMessage="1" showErrorMessage="1" xr:uid="{0566EBD6-C906-4427-93DA-63DF8E05545C}">
          <x14:formula1>
            <xm:f>Variables!$L$2:$L$4</xm:f>
          </x14:formula1>
          <xm:sqref>H5:H18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3A5B-3724-4C67-8FF8-9DA4EDC505A9}">
  <sheetPr codeName="Sheet23">
    <tabColor rgb="FF00B0F0"/>
  </sheetPr>
  <dimension ref="A1:S30"/>
  <sheetViews>
    <sheetView workbookViewId="0">
      <selection activeCell="S17" sqref="S17"/>
    </sheetView>
  </sheetViews>
  <sheetFormatPr defaultRowHeight="15" x14ac:dyDescent="0.25"/>
  <sheetData>
    <row r="1" spans="1:19" s="8" customFormat="1" ht="12.75" x14ac:dyDescent="0.2">
      <c r="C1" s="226"/>
      <c r="D1" s="226"/>
      <c r="E1" s="9"/>
      <c r="F1" s="9"/>
    </row>
    <row r="2" spans="1:19" s="8" customFormat="1" ht="18" x14ac:dyDescent="0.25">
      <c r="A2" s="242" t="s">
        <v>400</v>
      </c>
      <c r="B2" s="192"/>
      <c r="C2" s="192"/>
      <c r="D2" s="192"/>
      <c r="E2" s="192"/>
      <c r="F2" s="192"/>
      <c r="G2" s="192"/>
      <c r="H2" s="192"/>
      <c r="I2" s="192"/>
      <c r="J2" s="192"/>
      <c r="K2" s="192"/>
      <c r="L2" s="192"/>
      <c r="M2" s="192"/>
      <c r="N2" s="192"/>
      <c r="O2" s="192"/>
      <c r="P2" s="192"/>
      <c r="Q2" s="192"/>
      <c r="R2" s="192"/>
      <c r="S2" s="45"/>
    </row>
    <row r="3" spans="1:19" s="8" customFormat="1" ht="18.75" x14ac:dyDescent="0.2">
      <c r="A3" s="231" t="s">
        <v>401</v>
      </c>
      <c r="B3" s="232"/>
      <c r="C3" s="232"/>
      <c r="D3" s="232"/>
      <c r="E3" s="232"/>
      <c r="F3" s="232"/>
      <c r="G3" s="232"/>
      <c r="H3" s="232"/>
      <c r="I3" s="232"/>
      <c r="J3" s="232"/>
      <c r="K3" s="232"/>
      <c r="L3" s="232"/>
      <c r="M3" s="232"/>
      <c r="N3" s="232"/>
      <c r="O3" s="232"/>
      <c r="P3" s="232"/>
      <c r="Q3" s="232"/>
      <c r="R3" s="232"/>
      <c r="S3" s="45"/>
    </row>
    <row r="4" spans="1:19" s="8" customFormat="1" ht="15.75" thickBot="1" x14ac:dyDescent="0.25">
      <c r="S4" s="47"/>
    </row>
    <row r="5" spans="1:19" x14ac:dyDescent="0.25">
      <c r="A5" s="46"/>
      <c r="B5" s="233"/>
      <c r="C5" s="234"/>
      <c r="D5" s="234"/>
      <c r="E5" s="234"/>
      <c r="F5" s="234"/>
      <c r="G5" s="234"/>
      <c r="H5" s="234"/>
      <c r="I5" s="234"/>
      <c r="J5" s="234"/>
      <c r="K5" s="234"/>
      <c r="L5" s="234"/>
      <c r="M5" s="234"/>
      <c r="N5" s="234"/>
      <c r="O5" s="234"/>
      <c r="P5" s="234"/>
      <c r="Q5" s="234"/>
      <c r="R5" s="235"/>
      <c r="S5" s="47"/>
    </row>
    <row r="6" spans="1:19" x14ac:dyDescent="0.25">
      <c r="A6" s="46"/>
      <c r="B6" s="236"/>
      <c r="C6" s="237"/>
      <c r="D6" s="237"/>
      <c r="E6" s="237"/>
      <c r="F6" s="237"/>
      <c r="G6" s="237"/>
      <c r="H6" s="237"/>
      <c r="I6" s="237"/>
      <c r="J6" s="237"/>
      <c r="K6" s="237"/>
      <c r="L6" s="237"/>
      <c r="M6" s="237"/>
      <c r="N6" s="237"/>
      <c r="O6" s="237"/>
      <c r="P6" s="237"/>
      <c r="Q6" s="237"/>
      <c r="R6" s="238"/>
      <c r="S6" s="47"/>
    </row>
    <row r="7" spans="1:19" x14ac:dyDescent="0.25">
      <c r="A7" s="46"/>
      <c r="B7" s="236"/>
      <c r="C7" s="237"/>
      <c r="D7" s="237"/>
      <c r="E7" s="237"/>
      <c r="F7" s="237"/>
      <c r="G7" s="237"/>
      <c r="H7" s="237"/>
      <c r="I7" s="237"/>
      <c r="J7" s="237"/>
      <c r="K7" s="237"/>
      <c r="L7" s="237"/>
      <c r="M7" s="237"/>
      <c r="N7" s="237"/>
      <c r="O7" s="237"/>
      <c r="P7" s="237"/>
      <c r="Q7" s="237"/>
      <c r="R7" s="238"/>
      <c r="S7" s="47"/>
    </row>
    <row r="8" spans="1:19" x14ac:dyDescent="0.25">
      <c r="A8" s="46"/>
      <c r="B8" s="236"/>
      <c r="C8" s="237"/>
      <c r="D8" s="237"/>
      <c r="E8" s="237"/>
      <c r="F8" s="237"/>
      <c r="G8" s="237"/>
      <c r="H8" s="237"/>
      <c r="I8" s="237"/>
      <c r="J8" s="237"/>
      <c r="K8" s="237"/>
      <c r="L8" s="237"/>
      <c r="M8" s="237"/>
      <c r="N8" s="237"/>
      <c r="O8" s="237"/>
      <c r="P8" s="237"/>
      <c r="Q8" s="237"/>
      <c r="R8" s="238"/>
      <c r="S8" s="47"/>
    </row>
    <row r="9" spans="1:19" x14ac:dyDescent="0.25">
      <c r="A9" s="46"/>
      <c r="B9" s="236"/>
      <c r="C9" s="237"/>
      <c r="D9" s="237"/>
      <c r="E9" s="237"/>
      <c r="F9" s="237"/>
      <c r="G9" s="237"/>
      <c r="H9" s="237"/>
      <c r="I9" s="237"/>
      <c r="J9" s="237"/>
      <c r="K9" s="237"/>
      <c r="L9" s="237"/>
      <c r="M9" s="237"/>
      <c r="N9" s="237"/>
      <c r="O9" s="237"/>
      <c r="P9" s="237"/>
      <c r="Q9" s="237"/>
      <c r="R9" s="238"/>
      <c r="S9" s="47"/>
    </row>
    <row r="10" spans="1:19" x14ac:dyDescent="0.25">
      <c r="A10" s="46"/>
      <c r="B10" s="236"/>
      <c r="C10" s="237"/>
      <c r="D10" s="237"/>
      <c r="E10" s="237"/>
      <c r="F10" s="237"/>
      <c r="G10" s="237"/>
      <c r="H10" s="237"/>
      <c r="I10" s="237"/>
      <c r="J10" s="237"/>
      <c r="K10" s="237"/>
      <c r="L10" s="237"/>
      <c r="M10" s="237"/>
      <c r="N10" s="237"/>
      <c r="O10" s="237"/>
      <c r="P10" s="237"/>
      <c r="Q10" s="237"/>
      <c r="R10" s="238"/>
      <c r="S10" s="47"/>
    </row>
    <row r="11" spans="1:19" x14ac:dyDescent="0.25">
      <c r="A11" s="46"/>
      <c r="B11" s="236"/>
      <c r="C11" s="237"/>
      <c r="D11" s="237"/>
      <c r="E11" s="237"/>
      <c r="F11" s="237"/>
      <c r="G11" s="237"/>
      <c r="H11" s="237"/>
      <c r="I11" s="237"/>
      <c r="J11" s="237"/>
      <c r="K11" s="237"/>
      <c r="L11" s="237"/>
      <c r="M11" s="237"/>
      <c r="N11" s="237"/>
      <c r="O11" s="237"/>
      <c r="P11" s="237"/>
      <c r="Q11" s="237"/>
      <c r="R11" s="238"/>
      <c r="S11" s="47"/>
    </row>
    <row r="12" spans="1:19" x14ac:dyDescent="0.25">
      <c r="A12" s="46"/>
      <c r="B12" s="236"/>
      <c r="C12" s="237"/>
      <c r="D12" s="237"/>
      <c r="E12" s="237"/>
      <c r="F12" s="237"/>
      <c r="G12" s="237"/>
      <c r="H12" s="237"/>
      <c r="I12" s="237"/>
      <c r="J12" s="237"/>
      <c r="K12" s="237"/>
      <c r="L12" s="237"/>
      <c r="M12" s="237"/>
      <c r="N12" s="237"/>
      <c r="O12" s="237"/>
      <c r="P12" s="237"/>
      <c r="Q12" s="237"/>
      <c r="R12" s="238"/>
      <c r="S12" s="47"/>
    </row>
    <row r="13" spans="1:19" x14ac:dyDescent="0.25">
      <c r="A13" s="46"/>
      <c r="B13" s="236"/>
      <c r="C13" s="237"/>
      <c r="D13" s="237"/>
      <c r="E13" s="237"/>
      <c r="F13" s="237"/>
      <c r="G13" s="237"/>
      <c r="H13" s="237"/>
      <c r="I13" s="237"/>
      <c r="J13" s="237"/>
      <c r="K13" s="237"/>
      <c r="L13" s="237"/>
      <c r="M13" s="237"/>
      <c r="N13" s="237"/>
      <c r="O13" s="237"/>
      <c r="P13" s="237"/>
      <c r="Q13" s="237"/>
      <c r="R13" s="238"/>
      <c r="S13" s="47"/>
    </row>
    <row r="14" spans="1:19" x14ac:dyDescent="0.25">
      <c r="A14" s="46"/>
      <c r="B14" s="236"/>
      <c r="C14" s="237"/>
      <c r="D14" s="237"/>
      <c r="E14" s="237"/>
      <c r="F14" s="237"/>
      <c r="G14" s="237"/>
      <c r="H14" s="237"/>
      <c r="I14" s="237"/>
      <c r="J14" s="237"/>
      <c r="K14" s="237"/>
      <c r="L14" s="237"/>
      <c r="M14" s="237"/>
      <c r="N14" s="237"/>
      <c r="O14" s="237"/>
      <c r="P14" s="237"/>
      <c r="Q14" s="237"/>
      <c r="R14" s="238"/>
      <c r="S14" s="47"/>
    </row>
    <row r="15" spans="1:19" x14ac:dyDescent="0.25">
      <c r="A15" s="46"/>
      <c r="B15" s="236"/>
      <c r="C15" s="237"/>
      <c r="D15" s="237"/>
      <c r="E15" s="237"/>
      <c r="F15" s="237"/>
      <c r="G15" s="237"/>
      <c r="H15" s="237"/>
      <c r="I15" s="237"/>
      <c r="J15" s="237"/>
      <c r="K15" s="237"/>
      <c r="L15" s="237"/>
      <c r="M15" s="237"/>
      <c r="N15" s="237"/>
      <c r="O15" s="237"/>
      <c r="P15" s="237"/>
      <c r="Q15" s="237"/>
      <c r="R15" s="238"/>
      <c r="S15" s="47"/>
    </row>
    <row r="16" spans="1:19" x14ac:dyDescent="0.25">
      <c r="A16" s="46"/>
      <c r="B16" s="236"/>
      <c r="C16" s="237"/>
      <c r="D16" s="237"/>
      <c r="E16" s="237"/>
      <c r="F16" s="237"/>
      <c r="G16" s="237"/>
      <c r="H16" s="237"/>
      <c r="I16" s="237"/>
      <c r="J16" s="237"/>
      <c r="K16" s="237"/>
      <c r="L16" s="237"/>
      <c r="M16" s="237"/>
      <c r="N16" s="237"/>
      <c r="O16" s="237"/>
      <c r="P16" s="237"/>
      <c r="Q16" s="237"/>
      <c r="R16" s="238"/>
      <c r="S16" s="47"/>
    </row>
    <row r="17" spans="1:19" x14ac:dyDescent="0.25">
      <c r="A17" s="46"/>
      <c r="B17" s="236"/>
      <c r="C17" s="237"/>
      <c r="D17" s="237"/>
      <c r="E17" s="237"/>
      <c r="F17" s="237"/>
      <c r="G17" s="237"/>
      <c r="H17" s="237"/>
      <c r="I17" s="237"/>
      <c r="J17" s="237"/>
      <c r="K17" s="237"/>
      <c r="L17" s="237"/>
      <c r="M17" s="237"/>
      <c r="N17" s="237"/>
      <c r="O17" s="237"/>
      <c r="P17" s="237"/>
      <c r="Q17" s="237"/>
      <c r="R17" s="238"/>
      <c r="S17" s="47"/>
    </row>
    <row r="18" spans="1:19" x14ac:dyDescent="0.25">
      <c r="A18" s="46"/>
      <c r="B18" s="236"/>
      <c r="C18" s="237"/>
      <c r="D18" s="237"/>
      <c r="E18" s="237"/>
      <c r="F18" s="237"/>
      <c r="G18" s="237"/>
      <c r="H18" s="237"/>
      <c r="I18" s="237"/>
      <c r="J18" s="237"/>
      <c r="K18" s="237"/>
      <c r="L18" s="237"/>
      <c r="M18" s="237"/>
      <c r="N18" s="237"/>
      <c r="O18" s="237"/>
      <c r="P18" s="237"/>
      <c r="Q18" s="237"/>
      <c r="R18" s="238"/>
      <c r="S18" s="47"/>
    </row>
    <row r="19" spans="1:19" x14ac:dyDescent="0.25">
      <c r="A19" s="46"/>
      <c r="B19" s="236"/>
      <c r="C19" s="237"/>
      <c r="D19" s="237"/>
      <c r="E19" s="237"/>
      <c r="F19" s="237"/>
      <c r="G19" s="237"/>
      <c r="H19" s="237"/>
      <c r="I19" s="237"/>
      <c r="J19" s="237"/>
      <c r="K19" s="237"/>
      <c r="L19" s="237"/>
      <c r="M19" s="237"/>
      <c r="N19" s="237"/>
      <c r="O19" s="237"/>
      <c r="P19" s="237"/>
      <c r="Q19" s="237"/>
      <c r="R19" s="238"/>
      <c r="S19" s="47"/>
    </row>
    <row r="20" spans="1:19" x14ac:dyDescent="0.25">
      <c r="A20" s="46"/>
      <c r="B20" s="236"/>
      <c r="C20" s="237"/>
      <c r="D20" s="237"/>
      <c r="E20" s="237"/>
      <c r="F20" s="237"/>
      <c r="G20" s="237"/>
      <c r="H20" s="237"/>
      <c r="I20" s="237"/>
      <c r="J20" s="237"/>
      <c r="K20" s="237"/>
      <c r="L20" s="237"/>
      <c r="M20" s="237"/>
      <c r="N20" s="237"/>
      <c r="O20" s="237"/>
      <c r="P20" s="237"/>
      <c r="Q20" s="237"/>
      <c r="R20" s="238"/>
      <c r="S20" s="47"/>
    </row>
    <row r="21" spans="1:19" x14ac:dyDescent="0.25">
      <c r="A21" s="46"/>
      <c r="B21" s="236"/>
      <c r="C21" s="237"/>
      <c r="D21" s="237"/>
      <c r="E21" s="237"/>
      <c r="F21" s="237"/>
      <c r="G21" s="237"/>
      <c r="H21" s="237"/>
      <c r="I21" s="237"/>
      <c r="J21" s="237"/>
      <c r="K21" s="237"/>
      <c r="L21" s="237"/>
      <c r="M21" s="237"/>
      <c r="N21" s="237"/>
      <c r="O21" s="237"/>
      <c r="P21" s="237"/>
      <c r="Q21" s="237"/>
      <c r="R21" s="238"/>
      <c r="S21" s="47"/>
    </row>
    <row r="22" spans="1:19" x14ac:dyDescent="0.25">
      <c r="A22" s="46"/>
      <c r="B22" s="236"/>
      <c r="C22" s="237"/>
      <c r="D22" s="237"/>
      <c r="E22" s="237"/>
      <c r="F22" s="237"/>
      <c r="G22" s="237"/>
      <c r="H22" s="237"/>
      <c r="I22" s="237"/>
      <c r="J22" s="237"/>
      <c r="K22" s="237"/>
      <c r="L22" s="237"/>
      <c r="M22" s="237"/>
      <c r="N22" s="237"/>
      <c r="O22" s="237"/>
      <c r="P22" s="237"/>
      <c r="Q22" s="237"/>
      <c r="R22" s="238"/>
      <c r="S22" s="47"/>
    </row>
    <row r="23" spans="1:19" x14ac:dyDescent="0.25">
      <c r="A23" s="46"/>
      <c r="B23" s="236"/>
      <c r="C23" s="237"/>
      <c r="D23" s="237"/>
      <c r="E23" s="237"/>
      <c r="F23" s="237"/>
      <c r="G23" s="237"/>
      <c r="H23" s="237"/>
      <c r="I23" s="237"/>
      <c r="J23" s="237"/>
      <c r="K23" s="237"/>
      <c r="L23" s="237"/>
      <c r="M23" s="237"/>
      <c r="N23" s="237"/>
      <c r="O23" s="237"/>
      <c r="P23" s="237"/>
      <c r="Q23" s="237"/>
      <c r="R23" s="238"/>
      <c r="S23" s="47"/>
    </row>
    <row r="24" spans="1:19" ht="15.75" thickBot="1" x14ac:dyDescent="0.3">
      <c r="A24" s="46"/>
      <c r="B24" s="239"/>
      <c r="C24" s="240"/>
      <c r="D24" s="240"/>
      <c r="E24" s="240"/>
      <c r="F24" s="240"/>
      <c r="G24" s="240"/>
      <c r="H24" s="240"/>
      <c r="I24" s="240"/>
      <c r="J24" s="240"/>
      <c r="K24" s="240"/>
      <c r="L24" s="240"/>
      <c r="M24" s="240"/>
      <c r="N24" s="240"/>
      <c r="O24" s="240"/>
      <c r="P24" s="240"/>
      <c r="Q24" s="240"/>
      <c r="R24" s="241"/>
      <c r="S24" s="47"/>
    </row>
    <row r="25" spans="1:19" x14ac:dyDescent="0.25">
      <c r="A25" s="93"/>
      <c r="B25" s="93"/>
      <c r="C25" s="93"/>
      <c r="D25" s="93"/>
      <c r="E25" s="93"/>
      <c r="F25" s="93"/>
      <c r="G25" s="93"/>
      <c r="H25" s="93"/>
      <c r="I25" s="93"/>
      <c r="J25" s="93"/>
      <c r="K25" s="93"/>
      <c r="L25" s="93"/>
      <c r="M25" s="93"/>
      <c r="N25" s="93"/>
      <c r="O25" s="93"/>
      <c r="P25" s="93"/>
      <c r="Q25" s="93"/>
      <c r="R25" s="93"/>
      <c r="S25" s="47"/>
    </row>
    <row r="26" spans="1:19" x14ac:dyDescent="0.25">
      <c r="A26" s="93"/>
      <c r="B26" s="93"/>
      <c r="C26" s="93"/>
      <c r="D26" s="93"/>
      <c r="E26" s="93"/>
      <c r="F26" s="93"/>
      <c r="G26" s="93"/>
      <c r="H26" s="93"/>
      <c r="I26" s="93"/>
      <c r="J26" s="93"/>
      <c r="K26" s="93"/>
      <c r="L26" s="93"/>
      <c r="M26" s="93"/>
      <c r="N26" s="93"/>
      <c r="O26" s="93"/>
      <c r="P26" s="93"/>
      <c r="Q26" s="93"/>
      <c r="R26" s="93"/>
      <c r="S26" s="47"/>
    </row>
    <row r="27" spans="1:19" x14ac:dyDescent="0.25">
      <c r="A27" s="93"/>
      <c r="B27" s="93"/>
      <c r="C27" s="93"/>
      <c r="D27" s="93"/>
      <c r="E27" s="93"/>
      <c r="F27" s="93"/>
      <c r="G27" s="93"/>
      <c r="H27" s="93"/>
      <c r="I27" s="93"/>
      <c r="J27" s="93"/>
      <c r="K27" s="93"/>
      <c r="L27" s="93"/>
      <c r="M27" s="93"/>
      <c r="N27" s="93"/>
      <c r="O27" s="93"/>
      <c r="P27" s="93"/>
      <c r="Q27" s="93"/>
      <c r="R27" s="93"/>
      <c r="S27" s="47"/>
    </row>
    <row r="28" spans="1:19" x14ac:dyDescent="0.25">
      <c r="A28" s="93"/>
      <c r="B28" s="93"/>
      <c r="C28" s="93"/>
      <c r="D28" s="93"/>
      <c r="E28" s="93"/>
      <c r="F28" s="93"/>
      <c r="G28" s="93"/>
      <c r="H28" s="93"/>
      <c r="I28" s="93"/>
      <c r="J28" s="93"/>
      <c r="K28" s="93"/>
      <c r="L28" s="93"/>
      <c r="M28" s="93"/>
      <c r="N28" s="93"/>
      <c r="O28" s="93"/>
      <c r="P28" s="93"/>
      <c r="Q28" s="93"/>
      <c r="R28" s="93"/>
      <c r="S28" s="47"/>
    </row>
    <row r="29" spans="1:19" x14ac:dyDescent="0.25">
      <c r="A29" s="93"/>
      <c r="B29" s="93"/>
      <c r="C29" s="93"/>
      <c r="D29" s="93"/>
      <c r="E29" s="93"/>
      <c r="F29" s="93"/>
      <c r="G29" s="93"/>
      <c r="H29" s="93"/>
      <c r="I29" s="93"/>
      <c r="J29" s="93"/>
      <c r="K29" s="93"/>
      <c r="L29" s="93"/>
      <c r="M29" s="93"/>
      <c r="N29" s="93"/>
      <c r="O29" s="93"/>
      <c r="P29" s="93"/>
      <c r="Q29" s="93"/>
      <c r="R29" s="93"/>
      <c r="S29" s="47"/>
    </row>
    <row r="30" spans="1:19" x14ac:dyDescent="0.25">
      <c r="A30" s="93"/>
      <c r="B30" s="93"/>
      <c r="C30" s="93"/>
      <c r="D30" s="93"/>
      <c r="E30" s="93"/>
      <c r="F30" s="93"/>
      <c r="G30" s="93"/>
      <c r="H30" s="93"/>
      <c r="I30" s="93"/>
      <c r="J30" s="93"/>
      <c r="K30" s="93"/>
      <c r="L30" s="93"/>
      <c r="M30" s="93"/>
      <c r="N30" s="93"/>
      <c r="O30" s="93"/>
      <c r="P30" s="93"/>
      <c r="Q30" s="93"/>
      <c r="R30" s="93"/>
      <c r="S30" s="47"/>
    </row>
  </sheetData>
  <mergeCells count="4">
    <mergeCell ref="A3:R3"/>
    <mergeCell ref="B5:R24"/>
    <mergeCell ref="C1:D1"/>
    <mergeCell ref="A2:R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B8:E46"/>
  <sheetViews>
    <sheetView showGridLines="0" topLeftCell="A38" zoomScaleNormal="100" workbookViewId="0">
      <selection activeCell="E43" sqref="E43"/>
    </sheetView>
  </sheetViews>
  <sheetFormatPr defaultRowHeight="15" x14ac:dyDescent="0.25"/>
  <cols>
    <col min="2" max="2" width="16.140625" customWidth="1"/>
    <col min="3" max="3" width="42.42578125" customWidth="1"/>
    <col min="4" max="4" width="16.5703125" customWidth="1"/>
    <col min="5" max="5" width="82.42578125" customWidth="1"/>
  </cols>
  <sheetData>
    <row r="8" spans="2:5" ht="15.75" thickBot="1" x14ac:dyDescent="0.3">
      <c r="B8" s="93"/>
      <c r="C8" s="93"/>
      <c r="D8" s="93"/>
      <c r="E8" s="93"/>
    </row>
    <row r="9" spans="2:5" ht="15.75" thickBot="1" x14ac:dyDescent="0.3">
      <c r="B9" s="243" t="s">
        <v>402</v>
      </c>
      <c r="C9" s="244"/>
      <c r="D9" s="93"/>
      <c r="E9" s="93"/>
    </row>
    <row r="10" spans="2:5" ht="15.75" thickBot="1" x14ac:dyDescent="0.3">
      <c r="B10" s="1" t="s">
        <v>403</v>
      </c>
      <c r="C10" s="4">
        <v>1</v>
      </c>
      <c r="D10" s="93"/>
      <c r="E10" s="93"/>
    </row>
    <row r="11" spans="2:5" ht="15.75" thickBot="1" x14ac:dyDescent="0.3">
      <c r="B11" s="1" t="s">
        <v>404</v>
      </c>
      <c r="C11" s="4" t="s">
        <v>405</v>
      </c>
      <c r="D11" s="93"/>
      <c r="E11" s="93"/>
    </row>
    <row r="13" spans="2:5" ht="15.75" thickBot="1" x14ac:dyDescent="0.3">
      <c r="B13" s="93"/>
      <c r="C13" s="93"/>
      <c r="D13" s="93"/>
      <c r="E13" s="93"/>
    </row>
    <row r="14" spans="2:5" ht="15.75" thickBot="1" x14ac:dyDescent="0.3">
      <c r="B14" s="245" t="s">
        <v>406</v>
      </c>
      <c r="C14" s="246"/>
      <c r="D14" s="246"/>
      <c r="E14" s="247"/>
    </row>
    <row r="15" spans="2:5" ht="15.75" thickBot="1" x14ac:dyDescent="0.3">
      <c r="B15" s="2" t="s">
        <v>403</v>
      </c>
      <c r="C15" s="3" t="s">
        <v>407</v>
      </c>
      <c r="D15" s="3" t="s">
        <v>408</v>
      </c>
      <c r="E15" s="81" t="s">
        <v>409</v>
      </c>
    </row>
    <row r="16" spans="2:5" ht="15.75" thickBot="1" x14ac:dyDescent="0.3">
      <c r="B16" s="5" t="s">
        <v>410</v>
      </c>
      <c r="C16" s="37" t="s">
        <v>411</v>
      </c>
      <c r="D16" s="6" t="s">
        <v>412</v>
      </c>
      <c r="E16" s="82" t="s">
        <v>413</v>
      </c>
    </row>
    <row r="17" spans="2:5" ht="15.75" thickBot="1" x14ac:dyDescent="0.3">
      <c r="B17" s="5" t="s">
        <v>414</v>
      </c>
      <c r="C17" s="6" t="s">
        <v>415</v>
      </c>
      <c r="D17" s="6" t="s">
        <v>412</v>
      </c>
      <c r="E17" s="82" t="s">
        <v>416</v>
      </c>
    </row>
    <row r="18" spans="2:5" ht="15.75" thickBot="1" x14ac:dyDescent="0.3">
      <c r="B18" s="5" t="s">
        <v>417</v>
      </c>
      <c r="C18" s="6" t="s">
        <v>418</v>
      </c>
      <c r="D18" s="6" t="s">
        <v>412</v>
      </c>
      <c r="E18" s="82" t="s">
        <v>419</v>
      </c>
    </row>
    <row r="19" spans="2:5" ht="15.75" thickBot="1" x14ac:dyDescent="0.3">
      <c r="B19" s="5" t="s">
        <v>420</v>
      </c>
      <c r="C19" s="6" t="s">
        <v>421</v>
      </c>
      <c r="D19" s="6" t="s">
        <v>412</v>
      </c>
      <c r="E19" s="82" t="s">
        <v>422</v>
      </c>
    </row>
    <row r="20" spans="2:5" ht="51.75" thickBot="1" x14ac:dyDescent="0.3">
      <c r="B20" s="5" t="s">
        <v>423</v>
      </c>
      <c r="C20" s="6" t="s">
        <v>424</v>
      </c>
      <c r="D20" s="6" t="s">
        <v>425</v>
      </c>
      <c r="E20" s="82" t="s">
        <v>426</v>
      </c>
    </row>
    <row r="21" spans="2:5" ht="64.5" thickBot="1" x14ac:dyDescent="0.3">
      <c r="B21" s="5" t="s">
        <v>427</v>
      </c>
      <c r="C21" s="6" t="s">
        <v>428</v>
      </c>
      <c r="D21" s="6" t="s">
        <v>425</v>
      </c>
      <c r="E21" s="82" t="s">
        <v>429</v>
      </c>
    </row>
    <row r="22" spans="2:5" ht="26.25" thickBot="1" x14ac:dyDescent="0.3">
      <c r="B22" s="5" t="s">
        <v>430</v>
      </c>
      <c r="C22" s="6" t="s">
        <v>428</v>
      </c>
      <c r="D22" s="6" t="s">
        <v>425</v>
      </c>
      <c r="E22" s="82" t="s">
        <v>431</v>
      </c>
    </row>
    <row r="23" spans="2:5" ht="15.75" thickBot="1" x14ac:dyDescent="0.3">
      <c r="B23" s="5" t="s">
        <v>432</v>
      </c>
      <c r="C23" s="6" t="s">
        <v>428</v>
      </c>
      <c r="D23" s="6" t="s">
        <v>425</v>
      </c>
      <c r="E23" s="82" t="s">
        <v>433</v>
      </c>
    </row>
    <row r="24" spans="2:5" ht="26.25" thickBot="1" x14ac:dyDescent="0.3">
      <c r="B24" s="5" t="s">
        <v>434</v>
      </c>
      <c r="C24" s="6" t="s">
        <v>435</v>
      </c>
      <c r="D24" s="6" t="s">
        <v>425</v>
      </c>
      <c r="E24" s="82" t="s">
        <v>436</v>
      </c>
    </row>
    <row r="25" spans="2:5" ht="15.75" thickBot="1" x14ac:dyDescent="0.3">
      <c r="B25" s="5" t="s">
        <v>437</v>
      </c>
      <c r="C25" s="6" t="s">
        <v>438</v>
      </c>
      <c r="D25" s="6" t="s">
        <v>425</v>
      </c>
      <c r="E25" s="82" t="s">
        <v>439</v>
      </c>
    </row>
    <row r="26" spans="2:5" ht="15.75" thickBot="1" x14ac:dyDescent="0.3">
      <c r="B26" s="5" t="s">
        <v>440</v>
      </c>
      <c r="C26" s="6" t="s">
        <v>438</v>
      </c>
      <c r="D26" s="6" t="s">
        <v>412</v>
      </c>
      <c r="E26" s="82" t="s">
        <v>441</v>
      </c>
    </row>
    <row r="27" spans="2:5" ht="15.75" thickBot="1" x14ac:dyDescent="0.3">
      <c r="B27" s="5" t="s">
        <v>442</v>
      </c>
      <c r="C27" s="6" t="s">
        <v>443</v>
      </c>
      <c r="D27" s="6" t="s">
        <v>425</v>
      </c>
      <c r="E27" s="82" t="s">
        <v>444</v>
      </c>
    </row>
    <row r="28" spans="2:5" ht="15.75" thickBot="1" x14ac:dyDescent="0.3">
      <c r="B28" s="5" t="s">
        <v>445</v>
      </c>
      <c r="C28" s="6" t="s">
        <v>443</v>
      </c>
      <c r="D28" s="6" t="s">
        <v>412</v>
      </c>
      <c r="E28" s="82" t="s">
        <v>446</v>
      </c>
    </row>
    <row r="29" spans="2:5" ht="15.75" thickBot="1" x14ac:dyDescent="0.3">
      <c r="B29" s="5" t="s">
        <v>447</v>
      </c>
      <c r="C29" s="6" t="s">
        <v>448</v>
      </c>
      <c r="D29" s="6" t="s">
        <v>425</v>
      </c>
      <c r="E29" s="82" t="s">
        <v>449</v>
      </c>
    </row>
    <row r="30" spans="2:5" ht="230.25" thickBot="1" x14ac:dyDescent="0.3">
      <c r="B30" s="5" t="s">
        <v>450</v>
      </c>
      <c r="C30" s="6" t="s">
        <v>451</v>
      </c>
      <c r="D30" s="6" t="s">
        <v>452</v>
      </c>
      <c r="E30" s="82" t="s">
        <v>453</v>
      </c>
    </row>
    <row r="31" spans="2:5" ht="39" thickBot="1" x14ac:dyDescent="0.3">
      <c r="B31" s="5" t="s">
        <v>454</v>
      </c>
      <c r="C31" s="6" t="s">
        <v>455</v>
      </c>
      <c r="D31" s="6" t="s">
        <v>452</v>
      </c>
      <c r="E31" s="82" t="s">
        <v>456</v>
      </c>
    </row>
    <row r="32" spans="2:5" s="93" customFormat="1" ht="25.5" x14ac:dyDescent="0.25">
      <c r="B32" s="248" t="s">
        <v>457</v>
      </c>
      <c r="C32" s="251" t="s">
        <v>458</v>
      </c>
      <c r="D32" s="115" t="s">
        <v>452</v>
      </c>
      <c r="E32" s="115" t="s">
        <v>459</v>
      </c>
    </row>
    <row r="33" spans="2:5" s="93" customFormat="1" ht="25.5" x14ac:dyDescent="0.25">
      <c r="B33" s="249"/>
      <c r="C33" s="252"/>
      <c r="D33" s="114"/>
      <c r="E33" s="114" t="s">
        <v>460</v>
      </c>
    </row>
    <row r="34" spans="2:5" s="93" customFormat="1" x14ac:dyDescent="0.25">
      <c r="B34" s="249"/>
      <c r="C34" s="252"/>
      <c r="D34" s="114"/>
      <c r="E34" s="114" t="s">
        <v>461</v>
      </c>
    </row>
    <row r="35" spans="2:5" s="93" customFormat="1" x14ac:dyDescent="0.25">
      <c r="B35" s="249"/>
      <c r="C35" s="252"/>
      <c r="D35" s="114"/>
      <c r="E35" s="114" t="s">
        <v>462</v>
      </c>
    </row>
    <row r="36" spans="2:5" s="93" customFormat="1" x14ac:dyDescent="0.25">
      <c r="B36" s="249"/>
      <c r="C36" s="252"/>
      <c r="D36" s="114"/>
      <c r="E36" s="114" t="s">
        <v>463</v>
      </c>
    </row>
    <row r="37" spans="2:5" s="93" customFormat="1" x14ac:dyDescent="0.25">
      <c r="B37" s="249"/>
      <c r="C37" s="252"/>
      <c r="D37" s="114"/>
      <c r="E37" s="114" t="s">
        <v>464</v>
      </c>
    </row>
    <row r="38" spans="2:5" s="93" customFormat="1" ht="15.75" thickBot="1" x14ac:dyDescent="0.3">
      <c r="B38" s="250"/>
      <c r="C38" s="253"/>
      <c r="D38" s="116"/>
      <c r="E38" s="116" t="s">
        <v>465</v>
      </c>
    </row>
    <row r="39" spans="2:5" s="93" customFormat="1" ht="26.25" thickBot="1" x14ac:dyDescent="0.3">
      <c r="B39" s="117" t="s">
        <v>466</v>
      </c>
      <c r="C39" s="117" t="s">
        <v>467</v>
      </c>
      <c r="D39" s="117" t="s">
        <v>452</v>
      </c>
      <c r="E39" s="117" t="s">
        <v>468</v>
      </c>
    </row>
    <row r="40" spans="2:5" s="93" customFormat="1" ht="64.5" thickBot="1" x14ac:dyDescent="0.3">
      <c r="B40" s="117" t="s">
        <v>469</v>
      </c>
      <c r="C40" s="117" t="s">
        <v>470</v>
      </c>
      <c r="D40" s="117" t="s">
        <v>452</v>
      </c>
      <c r="E40" s="117" t="s">
        <v>471</v>
      </c>
    </row>
    <row r="41" spans="2:5" s="93" customFormat="1" ht="38.25" x14ac:dyDescent="0.25">
      <c r="B41" s="117" t="s">
        <v>472</v>
      </c>
      <c r="C41" s="117" t="s">
        <v>473</v>
      </c>
      <c r="D41" s="117" t="s">
        <v>452</v>
      </c>
      <c r="E41" s="117" t="s">
        <v>474</v>
      </c>
    </row>
    <row r="42" spans="2:5" s="93" customFormat="1" ht="26.25" thickBot="1" x14ac:dyDescent="0.3">
      <c r="B42" s="117" t="s">
        <v>475</v>
      </c>
      <c r="C42" s="117" t="s">
        <v>476</v>
      </c>
      <c r="D42" s="117" t="s">
        <v>425</v>
      </c>
      <c r="E42" s="117" t="s">
        <v>477</v>
      </c>
    </row>
    <row r="43" spans="2:5" s="93" customFormat="1" ht="77.25" thickBot="1" x14ac:dyDescent="0.3">
      <c r="B43" s="117" t="s">
        <v>478</v>
      </c>
      <c r="C43" s="117" t="s">
        <v>479</v>
      </c>
      <c r="D43" s="117" t="s">
        <v>425</v>
      </c>
      <c r="E43" s="117" t="s">
        <v>480</v>
      </c>
    </row>
    <row r="44" spans="2:5" s="93" customFormat="1" ht="26.25" thickBot="1" x14ac:dyDescent="0.3">
      <c r="B44" s="117" t="s">
        <v>481</v>
      </c>
      <c r="C44" s="117" t="s">
        <v>482</v>
      </c>
      <c r="D44" s="117" t="s">
        <v>452</v>
      </c>
      <c r="E44" s="117" t="s">
        <v>483</v>
      </c>
    </row>
    <row r="45" spans="2:5" s="93" customFormat="1" ht="39" thickBot="1" x14ac:dyDescent="0.3">
      <c r="B45" s="117" t="s">
        <v>484</v>
      </c>
      <c r="C45" s="117" t="s">
        <v>485</v>
      </c>
      <c r="D45" s="117" t="s">
        <v>452</v>
      </c>
      <c r="E45" s="117" t="s">
        <v>486</v>
      </c>
    </row>
    <row r="46" spans="2:5" s="93" customFormat="1" x14ac:dyDescent="0.25"/>
  </sheetData>
  <mergeCells count="4">
    <mergeCell ref="B9:C9"/>
    <mergeCell ref="B14:E14"/>
    <mergeCell ref="B32:B38"/>
    <mergeCell ref="C32:C38"/>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5D74B-7A03-4CC9-9C94-834F740BBC94}">
  <sheetPr codeName="Sheet22">
    <tabColor theme="5" tint="-0.249977111117893"/>
  </sheetPr>
  <dimension ref="A1:K36"/>
  <sheetViews>
    <sheetView zoomScaleNormal="100" workbookViewId="0">
      <selection activeCell="D5" sqref="D5"/>
    </sheetView>
  </sheetViews>
  <sheetFormatPr defaultRowHeight="15" x14ac:dyDescent="0.25"/>
  <cols>
    <col min="1" max="1" width="9.140625" style="84"/>
    <col min="2" max="2" width="17.5703125" customWidth="1"/>
    <col min="3" max="3" width="18.5703125" customWidth="1"/>
    <col min="4" max="4" width="42.5703125" customWidth="1"/>
    <col min="5" max="5" width="18.140625" customWidth="1"/>
    <col min="6" max="6" width="16.5703125" customWidth="1"/>
    <col min="7" max="7" width="22" customWidth="1"/>
    <col min="8" max="8" width="26.42578125" style="9" bestFit="1" customWidth="1"/>
    <col min="9" max="9" width="30.42578125" customWidth="1"/>
    <col min="10" max="10" width="25.42578125" style="93" bestFit="1" customWidth="1"/>
    <col min="11" max="11" width="35.5703125" customWidth="1"/>
  </cols>
  <sheetData>
    <row r="1" spans="1:11" s="8" customFormat="1" ht="12.75" x14ac:dyDescent="0.2">
      <c r="D1" s="226"/>
      <c r="E1" s="226"/>
      <c r="F1" s="9"/>
      <c r="G1" s="9"/>
      <c r="H1" s="9"/>
    </row>
    <row r="2" spans="1:11" s="8" customFormat="1" ht="18" x14ac:dyDescent="0.25">
      <c r="B2" s="225" t="s">
        <v>231</v>
      </c>
      <c r="C2" s="225"/>
      <c r="D2" s="225"/>
      <c r="E2" s="225"/>
      <c r="F2" s="225"/>
      <c r="G2" s="225"/>
      <c r="H2" s="225"/>
      <c r="I2" s="225"/>
      <c r="J2" s="225"/>
    </row>
    <row r="3" spans="1:11" s="8" customFormat="1" ht="12.75" x14ac:dyDescent="0.2"/>
    <row r="4" spans="1:11" s="8" customFormat="1" ht="41.45" customHeight="1" thickBot="1" x14ac:dyDescent="0.25">
      <c r="A4" s="85" t="s">
        <v>66</v>
      </c>
      <c r="B4" s="50" t="s">
        <v>67</v>
      </c>
      <c r="C4" s="50" t="s">
        <v>68</v>
      </c>
      <c r="D4" s="50" t="s">
        <v>69</v>
      </c>
      <c r="E4" s="50" t="s">
        <v>70</v>
      </c>
      <c r="F4" s="50" t="s">
        <v>71</v>
      </c>
      <c r="G4" s="50" t="s">
        <v>72</v>
      </c>
      <c r="H4" s="50" t="s">
        <v>73</v>
      </c>
      <c r="I4" s="50" t="s">
        <v>74</v>
      </c>
      <c r="J4" s="113" t="s">
        <v>75</v>
      </c>
      <c r="K4" s="50" t="s">
        <v>76</v>
      </c>
    </row>
    <row r="5" spans="1:11" s="8" customFormat="1" ht="51.75" thickBot="1" x14ac:dyDescent="0.25">
      <c r="B5" s="38" t="s">
        <v>232</v>
      </c>
      <c r="C5" s="25" t="s">
        <v>79</v>
      </c>
      <c r="D5" s="35" t="s">
        <v>233</v>
      </c>
      <c r="E5" s="51" t="s">
        <v>234</v>
      </c>
      <c r="F5" s="25" t="s">
        <v>81</v>
      </c>
      <c r="G5" s="25" t="s">
        <v>82</v>
      </c>
      <c r="H5" s="25" t="s">
        <v>300</v>
      </c>
      <c r="I5" s="79" t="s">
        <v>235</v>
      </c>
      <c r="J5" s="79"/>
      <c r="K5" s="80"/>
    </row>
    <row r="6" spans="1:11" s="8" customFormat="1" ht="39" thickBot="1" x14ac:dyDescent="0.25">
      <c r="B6" s="38" t="s">
        <v>236</v>
      </c>
      <c r="C6" s="25" t="s">
        <v>79</v>
      </c>
      <c r="D6" s="35" t="s">
        <v>237</v>
      </c>
      <c r="E6" s="51" t="s">
        <v>487</v>
      </c>
      <c r="F6" s="25" t="s">
        <v>81</v>
      </c>
      <c r="G6" s="25" t="s">
        <v>82</v>
      </c>
      <c r="H6" s="25" t="s">
        <v>300</v>
      </c>
      <c r="I6" s="79" t="s">
        <v>235</v>
      </c>
      <c r="J6" s="79"/>
      <c r="K6" s="80"/>
    </row>
    <row r="7" spans="1:11" s="8" customFormat="1" ht="45.6" customHeight="1" thickBot="1" x14ac:dyDescent="0.25">
      <c r="B7" s="38" t="s">
        <v>239</v>
      </c>
      <c r="C7" s="25" t="s">
        <v>79</v>
      </c>
      <c r="D7" s="35" t="s">
        <v>240</v>
      </c>
      <c r="E7" s="51" t="s">
        <v>241</v>
      </c>
      <c r="F7" s="25" t="s">
        <v>81</v>
      </c>
      <c r="G7" s="25" t="s">
        <v>82</v>
      </c>
      <c r="H7" s="25" t="s">
        <v>300</v>
      </c>
      <c r="I7" s="79" t="s">
        <v>235</v>
      </c>
      <c r="J7" s="79"/>
      <c r="K7" s="80"/>
    </row>
    <row r="8" spans="1:11" s="8" customFormat="1" ht="32.1" customHeight="1" thickBot="1" x14ac:dyDescent="0.25">
      <c r="B8" s="38" t="s">
        <v>242</v>
      </c>
      <c r="C8" s="25" t="s">
        <v>79</v>
      </c>
      <c r="D8" s="35" t="s">
        <v>243</v>
      </c>
      <c r="E8" s="51" t="s">
        <v>244</v>
      </c>
      <c r="F8" s="25" t="s">
        <v>81</v>
      </c>
      <c r="G8" s="25" t="s">
        <v>82</v>
      </c>
      <c r="H8" s="25" t="s">
        <v>300</v>
      </c>
      <c r="I8" s="79" t="s">
        <v>235</v>
      </c>
      <c r="J8" s="79"/>
      <c r="K8" s="80"/>
    </row>
    <row r="9" spans="1:11" s="8" customFormat="1" ht="76.5" x14ac:dyDescent="0.2">
      <c r="B9" s="66" t="s">
        <v>245</v>
      </c>
      <c r="C9" s="25" t="s">
        <v>79</v>
      </c>
      <c r="D9" s="35" t="s">
        <v>246</v>
      </c>
      <c r="E9" s="51" t="s">
        <v>244</v>
      </c>
      <c r="F9" s="25" t="s">
        <v>81</v>
      </c>
      <c r="G9" s="25" t="s">
        <v>82</v>
      </c>
      <c r="H9" s="25" t="s">
        <v>300</v>
      </c>
      <c r="I9" s="79" t="s">
        <v>235</v>
      </c>
      <c r="J9" s="79"/>
      <c r="K9" s="80"/>
    </row>
    <row r="10" spans="1:11" s="8" customFormat="1" ht="168.95" customHeight="1" x14ac:dyDescent="0.2">
      <c r="B10" s="26" t="s">
        <v>247</v>
      </c>
      <c r="C10" s="62" t="s">
        <v>87</v>
      </c>
      <c r="D10" s="35" t="s">
        <v>248</v>
      </c>
      <c r="E10" s="51" t="s">
        <v>249</v>
      </c>
      <c r="F10" s="25" t="s">
        <v>81</v>
      </c>
      <c r="G10" s="25" t="s">
        <v>82</v>
      </c>
      <c r="H10" s="25" t="s">
        <v>300</v>
      </c>
      <c r="I10" s="79" t="s">
        <v>235</v>
      </c>
      <c r="J10" s="79"/>
      <c r="K10" s="80"/>
    </row>
    <row r="11" spans="1:11" ht="42.6" customHeight="1" x14ac:dyDescent="0.25">
      <c r="A11" s="93"/>
      <c r="B11" s="26" t="s">
        <v>250</v>
      </c>
      <c r="C11" s="62" t="s">
        <v>87</v>
      </c>
      <c r="D11" s="35" t="s">
        <v>251</v>
      </c>
      <c r="E11" s="51" t="s">
        <v>249</v>
      </c>
      <c r="F11" s="25" t="s">
        <v>81</v>
      </c>
      <c r="G11" s="25" t="s">
        <v>82</v>
      </c>
      <c r="H11" s="25" t="s">
        <v>300</v>
      </c>
      <c r="I11" s="79" t="s">
        <v>235</v>
      </c>
      <c r="J11" s="79"/>
      <c r="K11" s="83"/>
    </row>
    <row r="12" spans="1:11" ht="38.25" x14ac:dyDescent="0.25">
      <c r="A12" s="93"/>
      <c r="B12" s="26" t="s">
        <v>252</v>
      </c>
      <c r="C12" s="54" t="s">
        <v>79</v>
      </c>
      <c r="D12" s="35" t="s">
        <v>253</v>
      </c>
      <c r="E12" s="51" t="s">
        <v>254</v>
      </c>
      <c r="F12" s="25" t="s">
        <v>81</v>
      </c>
      <c r="G12" s="25" t="s">
        <v>82</v>
      </c>
      <c r="H12" s="25" t="s">
        <v>300</v>
      </c>
      <c r="I12" s="79" t="s">
        <v>235</v>
      </c>
      <c r="J12" s="79"/>
      <c r="K12" s="83"/>
    </row>
    <row r="13" spans="1:11" ht="51" x14ac:dyDescent="0.25">
      <c r="A13" s="93"/>
      <c r="B13" s="26" t="s">
        <v>255</v>
      </c>
      <c r="C13" s="62" t="s">
        <v>87</v>
      </c>
      <c r="D13" s="35" t="s">
        <v>256</v>
      </c>
      <c r="E13" s="51" t="s">
        <v>257</v>
      </c>
      <c r="F13" s="25" t="s">
        <v>81</v>
      </c>
      <c r="G13" s="25" t="s">
        <v>82</v>
      </c>
      <c r="H13" s="25" t="s">
        <v>300</v>
      </c>
      <c r="I13" s="79" t="s">
        <v>235</v>
      </c>
      <c r="J13" s="79"/>
      <c r="K13" s="83"/>
    </row>
    <row r="14" spans="1:11" ht="38.25" x14ac:dyDescent="0.25">
      <c r="A14" s="93"/>
      <c r="B14" s="26" t="s">
        <v>258</v>
      </c>
      <c r="C14" s="62" t="s">
        <v>87</v>
      </c>
      <c r="D14" s="35" t="s">
        <v>259</v>
      </c>
      <c r="E14" s="79"/>
      <c r="F14" s="25" t="s">
        <v>81</v>
      </c>
      <c r="G14" s="25" t="s">
        <v>82</v>
      </c>
      <c r="H14" s="25" t="s">
        <v>300</v>
      </c>
      <c r="I14" s="79" t="s">
        <v>235</v>
      </c>
      <c r="J14" s="79"/>
      <c r="K14" s="83"/>
    </row>
    <row r="15" spans="1:11" ht="76.5" x14ac:dyDescent="0.25">
      <c r="A15" s="93"/>
      <c r="B15" s="26" t="s">
        <v>260</v>
      </c>
      <c r="C15" s="62" t="s">
        <v>87</v>
      </c>
      <c r="D15" s="35" t="s">
        <v>261</v>
      </c>
      <c r="E15" s="51" t="s">
        <v>249</v>
      </c>
      <c r="F15" s="25" t="s">
        <v>81</v>
      </c>
      <c r="G15" s="25" t="s">
        <v>82</v>
      </c>
      <c r="H15" s="25" t="s">
        <v>300</v>
      </c>
      <c r="I15" s="79" t="s">
        <v>153</v>
      </c>
      <c r="J15" s="79"/>
      <c r="K15" s="83"/>
    </row>
    <row r="16" spans="1:11" ht="140.25" x14ac:dyDescent="0.25">
      <c r="A16" s="93"/>
      <c r="B16" s="26" t="s">
        <v>262</v>
      </c>
      <c r="C16" s="54" t="s">
        <v>79</v>
      </c>
      <c r="D16" s="35" t="s">
        <v>263</v>
      </c>
      <c r="E16" s="51" t="s">
        <v>254</v>
      </c>
      <c r="F16" s="25" t="s">
        <v>81</v>
      </c>
      <c r="G16" s="25" t="s">
        <v>82</v>
      </c>
      <c r="H16" s="25" t="s">
        <v>300</v>
      </c>
      <c r="I16" s="79" t="s">
        <v>235</v>
      </c>
      <c r="J16" s="79"/>
      <c r="K16" s="83"/>
    </row>
    <row r="17" spans="2:11" ht="78.599999999999994" customHeight="1" x14ac:dyDescent="0.25">
      <c r="B17" s="26" t="s">
        <v>264</v>
      </c>
      <c r="C17" s="54" t="s">
        <v>79</v>
      </c>
      <c r="D17" s="35" t="s">
        <v>265</v>
      </c>
      <c r="E17" s="51" t="s">
        <v>266</v>
      </c>
      <c r="F17" s="25" t="s">
        <v>81</v>
      </c>
      <c r="G17" s="25" t="s">
        <v>82</v>
      </c>
      <c r="H17" s="25" t="s">
        <v>300</v>
      </c>
      <c r="I17" s="79" t="s">
        <v>103</v>
      </c>
      <c r="J17" s="79"/>
      <c r="K17" s="83"/>
    </row>
    <row r="18" spans="2:11" ht="57" customHeight="1" x14ac:dyDescent="0.25">
      <c r="B18" s="26" t="s">
        <v>267</v>
      </c>
      <c r="C18" s="54" t="s">
        <v>79</v>
      </c>
      <c r="D18" s="35" t="s">
        <v>488</v>
      </c>
      <c r="E18" s="51" t="s">
        <v>489</v>
      </c>
      <c r="F18" s="25" t="s">
        <v>81</v>
      </c>
      <c r="G18" s="25" t="s">
        <v>82</v>
      </c>
      <c r="H18" s="25" t="s">
        <v>300</v>
      </c>
      <c r="I18" s="79" t="s">
        <v>235</v>
      </c>
      <c r="J18" s="79"/>
      <c r="K18" s="83"/>
    </row>
    <row r="19" spans="2:11" ht="63.75" x14ac:dyDescent="0.25">
      <c r="B19" s="26" t="s">
        <v>268</v>
      </c>
      <c r="C19" s="54" t="s">
        <v>79</v>
      </c>
      <c r="D19" s="35" t="s">
        <v>269</v>
      </c>
      <c r="E19" s="51"/>
      <c r="F19" s="25" t="s">
        <v>81</v>
      </c>
      <c r="G19" s="25" t="s">
        <v>82</v>
      </c>
      <c r="H19" s="25" t="s">
        <v>300</v>
      </c>
      <c r="I19" s="79" t="s">
        <v>235</v>
      </c>
      <c r="J19" s="79"/>
      <c r="K19" s="83"/>
    </row>
    <row r="20" spans="2:11" ht="25.5" x14ac:dyDescent="0.25">
      <c r="B20" s="26" t="s">
        <v>270</v>
      </c>
      <c r="C20" s="54" t="s">
        <v>79</v>
      </c>
      <c r="D20" s="35" t="s">
        <v>490</v>
      </c>
      <c r="E20" s="51"/>
      <c r="F20" s="25" t="s">
        <v>81</v>
      </c>
      <c r="G20" s="25" t="s">
        <v>82</v>
      </c>
      <c r="H20" s="25" t="s">
        <v>300</v>
      </c>
      <c r="I20" s="79" t="s">
        <v>235</v>
      </c>
      <c r="J20" s="79"/>
      <c r="K20" s="83"/>
    </row>
    <row r="21" spans="2:11" ht="51" x14ac:dyDescent="0.25">
      <c r="B21" s="26" t="s">
        <v>271</v>
      </c>
      <c r="C21" s="54" t="s">
        <v>79</v>
      </c>
      <c r="D21" s="35" t="s">
        <v>272</v>
      </c>
      <c r="E21" s="51" t="s">
        <v>273</v>
      </c>
      <c r="F21" s="25" t="s">
        <v>81</v>
      </c>
      <c r="G21" s="25" t="s">
        <v>82</v>
      </c>
      <c r="H21" s="25" t="s">
        <v>300</v>
      </c>
      <c r="I21" s="79" t="s">
        <v>235</v>
      </c>
      <c r="J21" s="79"/>
      <c r="K21" s="83"/>
    </row>
    <row r="22" spans="2:11" ht="143.1" customHeight="1" x14ac:dyDescent="0.25">
      <c r="B22" s="26" t="s">
        <v>274</v>
      </c>
      <c r="C22" s="54" t="s">
        <v>79</v>
      </c>
      <c r="D22" s="35" t="s">
        <v>275</v>
      </c>
      <c r="E22" s="51"/>
      <c r="F22" s="25" t="s">
        <v>81</v>
      </c>
      <c r="G22" s="25" t="s">
        <v>82</v>
      </c>
      <c r="H22" s="25" t="s">
        <v>300</v>
      </c>
      <c r="I22" s="79" t="s">
        <v>235</v>
      </c>
      <c r="J22" s="79"/>
      <c r="K22" s="83"/>
    </row>
    <row r="23" spans="2:11" ht="81.599999999999994" customHeight="1" x14ac:dyDescent="0.25">
      <c r="B23" s="26" t="s">
        <v>276</v>
      </c>
      <c r="C23" s="54" t="s">
        <v>79</v>
      </c>
      <c r="D23" s="35" t="s">
        <v>277</v>
      </c>
      <c r="E23" s="51"/>
      <c r="F23" s="25" t="s">
        <v>81</v>
      </c>
      <c r="G23" s="25" t="s">
        <v>82</v>
      </c>
      <c r="H23" s="25" t="s">
        <v>300</v>
      </c>
      <c r="I23" s="79" t="s">
        <v>235</v>
      </c>
      <c r="J23" s="79"/>
      <c r="K23" s="83"/>
    </row>
    <row r="24" spans="2:11" ht="71.099999999999994" customHeight="1" x14ac:dyDescent="0.25">
      <c r="B24" s="26" t="s">
        <v>278</v>
      </c>
      <c r="C24" s="54" t="s">
        <v>79</v>
      </c>
      <c r="D24" s="35" t="s">
        <v>279</v>
      </c>
      <c r="E24" s="51"/>
      <c r="F24" s="25" t="s">
        <v>81</v>
      </c>
      <c r="G24" s="25" t="s">
        <v>82</v>
      </c>
      <c r="H24" s="25" t="s">
        <v>300</v>
      </c>
      <c r="I24" s="79" t="s">
        <v>235</v>
      </c>
      <c r="J24" s="79"/>
      <c r="K24" s="83"/>
    </row>
    <row r="25" spans="2:11" ht="68.45" customHeight="1" x14ac:dyDescent="0.25">
      <c r="B25" s="26" t="s">
        <v>280</v>
      </c>
      <c r="C25" s="62" t="s">
        <v>87</v>
      </c>
      <c r="D25" s="35" t="s">
        <v>281</v>
      </c>
      <c r="E25" s="51"/>
      <c r="F25" s="25" t="s">
        <v>81</v>
      </c>
      <c r="G25" s="25" t="s">
        <v>82</v>
      </c>
      <c r="H25" s="25" t="s">
        <v>300</v>
      </c>
      <c r="I25" s="79" t="s">
        <v>235</v>
      </c>
      <c r="J25" s="79"/>
      <c r="K25" s="83"/>
    </row>
    <row r="26" spans="2:11" s="8" customFormat="1" ht="57.95" customHeight="1" x14ac:dyDescent="0.2">
      <c r="B26" s="26" t="s">
        <v>175</v>
      </c>
      <c r="C26" s="62" t="s">
        <v>87</v>
      </c>
      <c r="D26" s="35" t="s">
        <v>491</v>
      </c>
      <c r="E26" s="51" t="s">
        <v>492</v>
      </c>
      <c r="F26" s="25" t="s">
        <v>81</v>
      </c>
      <c r="G26" s="25" t="s">
        <v>82</v>
      </c>
      <c r="H26" s="25" t="s">
        <v>300</v>
      </c>
      <c r="I26" s="79" t="s">
        <v>95</v>
      </c>
      <c r="J26" s="79"/>
      <c r="K26" s="80"/>
    </row>
    <row r="27" spans="2:11" s="8" customFormat="1" ht="25.5" x14ac:dyDescent="0.2">
      <c r="B27" s="26" t="s">
        <v>107</v>
      </c>
      <c r="C27" s="63"/>
      <c r="D27" s="44"/>
      <c r="E27" s="28"/>
      <c r="F27" s="25"/>
      <c r="G27" s="25"/>
      <c r="H27" s="25"/>
      <c r="I27" s="74"/>
      <c r="J27" s="74"/>
      <c r="K27" s="80"/>
    </row>
    <row r="28" spans="2:11" s="8" customFormat="1" ht="25.5" x14ac:dyDescent="0.2">
      <c r="B28" s="26" t="s">
        <v>107</v>
      </c>
      <c r="C28" s="64"/>
      <c r="D28" s="25"/>
      <c r="E28" s="28"/>
      <c r="F28" s="25"/>
      <c r="G28" s="25"/>
      <c r="H28" s="25"/>
      <c r="I28" s="74"/>
      <c r="J28" s="74"/>
      <c r="K28" s="80"/>
    </row>
    <row r="29" spans="2:11" s="8" customFormat="1" ht="25.5" x14ac:dyDescent="0.2">
      <c r="B29" s="26" t="s">
        <v>107</v>
      </c>
      <c r="C29" s="65"/>
      <c r="D29" s="25"/>
      <c r="E29" s="28"/>
      <c r="F29" s="25"/>
      <c r="G29" s="25"/>
      <c r="H29" s="25"/>
      <c r="I29" s="74"/>
      <c r="J29" s="74"/>
      <c r="K29" s="80"/>
    </row>
    <row r="30" spans="2:11" s="8" customFormat="1" ht="25.5" x14ac:dyDescent="0.2">
      <c r="B30" s="26" t="s">
        <v>107</v>
      </c>
      <c r="C30" s="65"/>
      <c r="D30" s="25"/>
      <c r="E30" s="28"/>
      <c r="F30" s="25"/>
      <c r="G30" s="25"/>
      <c r="H30" s="25"/>
      <c r="I30" s="74"/>
      <c r="J30" s="74"/>
      <c r="K30" s="80"/>
    </row>
    <row r="31" spans="2:11" s="8" customFormat="1" ht="25.5" x14ac:dyDescent="0.2">
      <c r="B31" s="26" t="s">
        <v>107</v>
      </c>
      <c r="C31" s="29"/>
      <c r="D31" s="25"/>
      <c r="E31" s="28"/>
      <c r="F31" s="25"/>
      <c r="G31" s="25"/>
      <c r="H31" s="25"/>
      <c r="I31" s="74"/>
      <c r="J31" s="74"/>
      <c r="K31" s="80"/>
    </row>
    <row r="32" spans="2:11" x14ac:dyDescent="0.25">
      <c r="B32" s="93"/>
      <c r="C32" s="93"/>
      <c r="D32" s="227" t="s">
        <v>182</v>
      </c>
      <c r="E32" s="26" t="s">
        <v>109</v>
      </c>
      <c r="F32" s="96">
        <f>COUNTIFS($F$5:$F$31,"completed")</f>
        <v>0</v>
      </c>
      <c r="G32" s="43">
        <f>COUNTIFS($G$5:$G$31,"yes")</f>
        <v>0</v>
      </c>
      <c r="I32" s="93"/>
      <c r="K32" s="93"/>
    </row>
    <row r="33" spans="4:7" ht="14.45" customHeight="1" x14ac:dyDescent="0.25">
      <c r="D33" s="228"/>
      <c r="E33" s="26" t="s">
        <v>110</v>
      </c>
      <c r="F33" s="96">
        <f>COUNTIFS($F$5:$F$31,"not started")</f>
        <v>22</v>
      </c>
      <c r="G33" s="43">
        <f>COUNTIFS($G$5:$G$31,"TBC")</f>
        <v>22</v>
      </c>
    </row>
    <row r="34" spans="4:7" x14ac:dyDescent="0.25">
      <c r="D34" s="228"/>
      <c r="E34" s="26" t="s">
        <v>99</v>
      </c>
      <c r="F34" s="96">
        <f>COUNTIFS($F$5:$F$31,"not applicable")</f>
        <v>0</v>
      </c>
      <c r="G34" s="43">
        <f>COUNTIFS($G$5:$G$31,"not applicable")</f>
        <v>0</v>
      </c>
    </row>
    <row r="35" spans="4:7" x14ac:dyDescent="0.25">
      <c r="D35" s="228"/>
      <c r="E35" s="26" t="s">
        <v>111</v>
      </c>
      <c r="F35" s="96">
        <f>COUNTIFS($F$5:$F$31,"in progress")</f>
        <v>0</v>
      </c>
      <c r="G35" s="43">
        <f>COUNTIFS($G$5:$G$31,"in progress")</f>
        <v>0</v>
      </c>
    </row>
    <row r="36" spans="4:7" x14ac:dyDescent="0.25">
      <c r="D36" s="229"/>
      <c r="E36" s="26" t="s">
        <v>112</v>
      </c>
      <c r="F36" s="99">
        <f>SUM(F32:F35)</f>
        <v>22</v>
      </c>
      <c r="G36" s="49">
        <f>SUM(G32:G35)</f>
        <v>22</v>
      </c>
    </row>
  </sheetData>
  <mergeCells count="3">
    <mergeCell ref="D1:E1"/>
    <mergeCell ref="B2:J2"/>
    <mergeCell ref="D32:D36"/>
  </mergeCells>
  <dataValidations count="1">
    <dataValidation showInputMessage="1" showErrorMessage="1" sqref="D27:D31" xr:uid="{EDE154A4-A665-45B5-A01D-2A5A8C3339F0}"/>
  </dataValidations>
  <hyperlinks>
    <hyperlink ref="J4" r:id="rId1" xr:uid="{E8D4274F-25AF-459C-8BB4-B2A6DBC7AE01}"/>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DD9B9FDB-63AF-4B05-AA3B-AC28891362DB}">
          <x14:formula1>
            <xm:f>Variables!$I$2:$I$5</xm:f>
          </x14:formula1>
          <xm:sqref>F5:F31</xm:sqref>
        </x14:dataValidation>
        <x14:dataValidation type="list" allowBlank="1" showInputMessage="1" showErrorMessage="1" xr:uid="{D5D55771-C1E2-4868-876D-23B96696D481}">
          <x14:formula1>
            <xm:f>Variables!$A$2:$A$4</xm:f>
          </x14:formula1>
          <xm:sqref>C5:C31</xm:sqref>
        </x14:dataValidation>
        <x14:dataValidation type="list" allowBlank="1" showInputMessage="1" showErrorMessage="1" xr:uid="{288F46E7-4BC6-4CE8-B836-3102423AEA7D}">
          <x14:formula1>
            <xm:f>Variables!$J$2:$J$5</xm:f>
          </x14:formula1>
          <xm:sqref>G5:G31</xm:sqref>
        </x14:dataValidation>
        <x14:dataValidation type="list" allowBlank="1" showInputMessage="1" showErrorMessage="1" xr:uid="{E4F18F3D-27DE-4776-8DB8-04450367AA64}">
          <x14:formula1>
            <xm:f>Variables!$L$2:$L$4</xm:f>
          </x14:formula1>
          <xm:sqref>H5:H31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2F67-1C2B-4C0F-B564-466DDC04DC8F}">
  <dimension ref="A1:I46"/>
  <sheetViews>
    <sheetView workbookViewId="0">
      <pane xSplit="2" ySplit="2" topLeftCell="C3" activePane="bottomRight" state="frozen"/>
      <selection pane="topRight" activeCell="C1" sqref="C1"/>
      <selection pane="bottomLeft" activeCell="A3" sqref="A3"/>
      <selection pane="bottomRight" activeCell="F3" sqref="F3"/>
    </sheetView>
  </sheetViews>
  <sheetFormatPr defaultRowHeight="15" x14ac:dyDescent="0.25"/>
  <cols>
    <col min="1" max="1" width="13.42578125" style="138" customWidth="1"/>
    <col min="2" max="2" width="80.42578125" style="139" customWidth="1"/>
    <col min="3" max="3" width="18.5703125" bestFit="1" customWidth="1"/>
    <col min="4" max="4" width="9.85546875" bestFit="1" customWidth="1"/>
    <col min="5" max="5" width="9.85546875" style="93" hidden="1" customWidth="1"/>
    <col min="6" max="6" width="13.42578125" bestFit="1" customWidth="1"/>
    <col min="7" max="7" width="12.42578125" bestFit="1" customWidth="1"/>
    <col min="8" max="8" width="11.85546875" bestFit="1" customWidth="1"/>
    <col min="9" max="9" width="12.42578125" style="93" customWidth="1"/>
  </cols>
  <sheetData>
    <row r="1" spans="1:9" s="93" customFormat="1" x14ac:dyDescent="0.25">
      <c r="A1" s="138"/>
      <c r="B1" s="139"/>
      <c r="C1" s="93" t="s">
        <v>493</v>
      </c>
    </row>
    <row r="2" spans="1:9" x14ac:dyDescent="0.25">
      <c r="A2" s="145" t="s">
        <v>66</v>
      </c>
      <c r="B2" s="146" t="s">
        <v>494</v>
      </c>
      <c r="C2" s="147" t="s">
        <v>495</v>
      </c>
      <c r="D2" s="147" t="s">
        <v>496</v>
      </c>
      <c r="E2" s="147" t="s">
        <v>497</v>
      </c>
      <c r="F2" s="147" t="s">
        <v>498</v>
      </c>
      <c r="G2" s="147" t="s">
        <v>499</v>
      </c>
      <c r="H2" s="147" t="s">
        <v>500</v>
      </c>
      <c r="I2" s="148" t="s">
        <v>501</v>
      </c>
    </row>
    <row r="3" spans="1:9" ht="25.5" x14ac:dyDescent="0.25">
      <c r="A3" s="142" t="s">
        <v>121</v>
      </c>
      <c r="B3" s="132" t="s">
        <v>502</v>
      </c>
      <c r="C3" s="83" t="s">
        <v>503</v>
      </c>
      <c r="D3" s="83" t="s">
        <v>504</v>
      </c>
      <c r="E3" s="83" t="s">
        <v>504</v>
      </c>
      <c r="F3" s="83" t="s">
        <v>504</v>
      </c>
      <c r="G3" s="83" t="s">
        <v>503</v>
      </c>
      <c r="H3" s="83" t="s">
        <v>503</v>
      </c>
      <c r="I3" s="144" t="s">
        <v>504</v>
      </c>
    </row>
    <row r="4" spans="1:9" x14ac:dyDescent="0.25">
      <c r="A4" s="142" t="s">
        <v>283</v>
      </c>
      <c r="B4" s="140" t="s">
        <v>505</v>
      </c>
      <c r="C4" s="83" t="s">
        <v>503</v>
      </c>
      <c r="D4" s="83" t="s">
        <v>504</v>
      </c>
      <c r="E4" s="83" t="s">
        <v>504</v>
      </c>
      <c r="F4" s="83" t="s">
        <v>504</v>
      </c>
      <c r="G4" s="83" t="s">
        <v>504</v>
      </c>
      <c r="H4" s="83" t="s">
        <v>503</v>
      </c>
      <c r="I4" s="144" t="s">
        <v>503</v>
      </c>
    </row>
    <row r="5" spans="1:9" x14ac:dyDescent="0.25">
      <c r="A5" s="142" t="s">
        <v>158</v>
      </c>
      <c r="B5" s="132" t="s">
        <v>506</v>
      </c>
      <c r="C5" s="83" t="s">
        <v>503</v>
      </c>
      <c r="D5" s="83" t="s">
        <v>503</v>
      </c>
      <c r="E5" s="83"/>
      <c r="F5" s="83" t="s">
        <v>504</v>
      </c>
      <c r="G5" s="83" t="s">
        <v>503</v>
      </c>
      <c r="H5" s="83" t="s">
        <v>503</v>
      </c>
      <c r="I5" s="144" t="s">
        <v>504</v>
      </c>
    </row>
    <row r="6" spans="1:9" x14ac:dyDescent="0.25">
      <c r="A6" s="142" t="s">
        <v>161</v>
      </c>
      <c r="B6" s="140" t="s">
        <v>507</v>
      </c>
      <c r="C6" s="83" t="s">
        <v>503</v>
      </c>
      <c r="D6" s="83" t="s">
        <v>503</v>
      </c>
      <c r="E6" s="83"/>
      <c r="F6" s="83" t="s">
        <v>504</v>
      </c>
      <c r="G6" s="83" t="s">
        <v>504</v>
      </c>
      <c r="H6" s="83" t="s">
        <v>503</v>
      </c>
      <c r="I6" s="144" t="s">
        <v>503</v>
      </c>
    </row>
    <row r="7" spans="1:9" ht="38.25" x14ac:dyDescent="0.25">
      <c r="A7" s="143" t="s">
        <v>172</v>
      </c>
      <c r="B7" s="133" t="s">
        <v>508</v>
      </c>
      <c r="C7" s="83" t="s">
        <v>503</v>
      </c>
      <c r="D7" s="83" t="s">
        <v>503</v>
      </c>
      <c r="E7" s="83"/>
      <c r="F7" s="83" t="s">
        <v>504</v>
      </c>
      <c r="G7" s="83" t="s">
        <v>504</v>
      </c>
      <c r="H7" s="83" t="s">
        <v>503</v>
      </c>
      <c r="I7" s="144" t="s">
        <v>503</v>
      </c>
    </row>
    <row r="8" spans="1:9" ht="38.25" x14ac:dyDescent="0.25">
      <c r="A8" s="143" t="s">
        <v>176</v>
      </c>
      <c r="B8" s="132" t="s">
        <v>509</v>
      </c>
      <c r="C8" s="83" t="s">
        <v>503</v>
      </c>
      <c r="D8" s="83" t="s">
        <v>503</v>
      </c>
      <c r="E8" s="83"/>
      <c r="F8" s="83" t="s">
        <v>504</v>
      </c>
      <c r="G8" s="83" t="s">
        <v>503</v>
      </c>
      <c r="H8" s="83" t="s">
        <v>503</v>
      </c>
      <c r="I8" s="144" t="s">
        <v>503</v>
      </c>
    </row>
    <row r="9" spans="1:9" ht="114.75" x14ac:dyDescent="0.25">
      <c r="A9" s="142" t="s">
        <v>186</v>
      </c>
      <c r="B9" s="134" t="s">
        <v>510</v>
      </c>
      <c r="C9" s="83" t="s">
        <v>503</v>
      </c>
      <c r="D9" s="83" t="s">
        <v>503</v>
      </c>
      <c r="E9" s="83"/>
      <c r="F9" s="83" t="s">
        <v>503</v>
      </c>
      <c r="G9" s="83" t="s">
        <v>504</v>
      </c>
      <c r="H9" s="83" t="s">
        <v>503</v>
      </c>
      <c r="I9" s="144" t="s">
        <v>503</v>
      </c>
    </row>
    <row r="10" spans="1:9" s="93" customFormat="1" ht="25.5" x14ac:dyDescent="0.25">
      <c r="A10" s="142" t="s">
        <v>511</v>
      </c>
      <c r="B10" s="134" t="s">
        <v>512</v>
      </c>
      <c r="C10" s="83" t="s">
        <v>503</v>
      </c>
      <c r="D10" s="83" t="s">
        <v>503</v>
      </c>
      <c r="E10" s="83"/>
      <c r="F10" s="83" t="s">
        <v>503</v>
      </c>
      <c r="G10" s="83" t="s">
        <v>503</v>
      </c>
      <c r="H10" s="83" t="s">
        <v>503</v>
      </c>
      <c r="I10" s="144" t="s">
        <v>504</v>
      </c>
    </row>
    <row r="11" spans="1:9" ht="25.5" x14ac:dyDescent="0.25">
      <c r="A11" s="142" t="s">
        <v>191</v>
      </c>
      <c r="B11" s="133" t="s">
        <v>513</v>
      </c>
      <c r="C11" s="83" t="s">
        <v>503</v>
      </c>
      <c r="D11" s="83" t="s">
        <v>503</v>
      </c>
      <c r="E11" s="83"/>
      <c r="F11" s="83" t="s">
        <v>503</v>
      </c>
      <c r="G11" s="83" t="s">
        <v>504</v>
      </c>
      <c r="H11" s="83" t="s">
        <v>503</v>
      </c>
      <c r="I11" s="144" t="s">
        <v>503</v>
      </c>
    </row>
    <row r="12" spans="1:9" x14ac:dyDescent="0.25">
      <c r="A12" s="142" t="s">
        <v>77</v>
      </c>
      <c r="B12" s="132" t="s">
        <v>514</v>
      </c>
      <c r="C12" s="83" t="s">
        <v>504</v>
      </c>
      <c r="D12" s="83" t="s">
        <v>504</v>
      </c>
      <c r="E12" s="83" t="s">
        <v>504</v>
      </c>
      <c r="F12" s="83" t="s">
        <v>503</v>
      </c>
      <c r="G12" s="83" t="s">
        <v>503</v>
      </c>
      <c r="H12" s="83" t="s">
        <v>503</v>
      </c>
      <c r="I12" s="144" t="s">
        <v>503</v>
      </c>
    </row>
    <row r="13" spans="1:9" s="93" customFormat="1" ht="38.25" x14ac:dyDescent="0.25">
      <c r="A13" s="142" t="s">
        <v>515</v>
      </c>
      <c r="B13" s="132" t="s">
        <v>516</v>
      </c>
      <c r="C13" s="83" t="s">
        <v>503</v>
      </c>
      <c r="D13" s="83" t="s">
        <v>503</v>
      </c>
      <c r="E13" s="83"/>
      <c r="F13" s="83" t="s">
        <v>503</v>
      </c>
      <c r="G13" s="83" t="s">
        <v>503</v>
      </c>
      <c r="H13" s="83" t="s">
        <v>503</v>
      </c>
      <c r="I13" s="144" t="s">
        <v>504</v>
      </c>
    </row>
    <row r="14" spans="1:9" s="93" customFormat="1" ht="51" x14ac:dyDescent="0.25">
      <c r="A14" s="142" t="s">
        <v>517</v>
      </c>
      <c r="B14" s="132" t="s">
        <v>518</v>
      </c>
      <c r="C14" s="83" t="s">
        <v>503</v>
      </c>
      <c r="D14" s="83" t="s">
        <v>503</v>
      </c>
      <c r="E14" s="83"/>
      <c r="F14" s="83" t="s">
        <v>503</v>
      </c>
      <c r="G14" s="83" t="s">
        <v>503</v>
      </c>
      <c r="H14" s="83" t="s">
        <v>503</v>
      </c>
      <c r="I14" s="144" t="s">
        <v>504</v>
      </c>
    </row>
    <row r="15" spans="1:9" x14ac:dyDescent="0.25">
      <c r="A15" s="143" t="s">
        <v>142</v>
      </c>
      <c r="B15" s="132" t="s">
        <v>519</v>
      </c>
      <c r="C15" s="83" t="s">
        <v>503</v>
      </c>
      <c r="D15" s="83" t="s">
        <v>504</v>
      </c>
      <c r="E15" s="83" t="s">
        <v>504</v>
      </c>
      <c r="F15" s="83" t="s">
        <v>504</v>
      </c>
      <c r="G15" s="83" t="s">
        <v>504</v>
      </c>
      <c r="H15" s="83" t="s">
        <v>503</v>
      </c>
      <c r="I15" s="144" t="s">
        <v>503</v>
      </c>
    </row>
    <row r="16" spans="1:9" s="93" customFormat="1" x14ac:dyDescent="0.25">
      <c r="A16" s="143" t="s">
        <v>144</v>
      </c>
      <c r="B16" s="132" t="s">
        <v>520</v>
      </c>
      <c r="C16" s="83" t="s">
        <v>503</v>
      </c>
      <c r="D16" s="83" t="s">
        <v>504</v>
      </c>
      <c r="E16" s="83" t="s">
        <v>504</v>
      </c>
      <c r="F16" s="83" t="s">
        <v>504</v>
      </c>
      <c r="G16" s="83" t="s">
        <v>504</v>
      </c>
      <c r="H16" s="83" t="s">
        <v>503</v>
      </c>
      <c r="I16" s="144" t="s">
        <v>503</v>
      </c>
    </row>
    <row r="17" spans="1:9" s="93" customFormat="1" x14ac:dyDescent="0.25">
      <c r="A17" s="143" t="s">
        <v>146</v>
      </c>
      <c r="B17" s="132" t="s">
        <v>521</v>
      </c>
      <c r="C17" s="83" t="s">
        <v>503</v>
      </c>
      <c r="D17" s="83" t="s">
        <v>504</v>
      </c>
      <c r="E17" s="83" t="s">
        <v>504</v>
      </c>
      <c r="F17" s="83" t="s">
        <v>504</v>
      </c>
      <c r="G17" s="83" t="s">
        <v>504</v>
      </c>
      <c r="H17" s="83" t="s">
        <v>503</v>
      </c>
      <c r="I17" s="144" t="s">
        <v>503</v>
      </c>
    </row>
    <row r="18" spans="1:9" s="93" customFormat="1" ht="25.5" x14ac:dyDescent="0.25">
      <c r="A18" s="143" t="s">
        <v>148</v>
      </c>
      <c r="B18" s="132" t="s">
        <v>522</v>
      </c>
      <c r="C18" s="83" t="s">
        <v>503</v>
      </c>
      <c r="D18" s="83" t="s">
        <v>504</v>
      </c>
      <c r="E18" s="83" t="s">
        <v>504</v>
      </c>
      <c r="F18" s="83" t="s">
        <v>504</v>
      </c>
      <c r="G18" s="83" t="s">
        <v>504</v>
      </c>
      <c r="H18" s="83" t="s">
        <v>503</v>
      </c>
      <c r="I18" s="144" t="s">
        <v>503</v>
      </c>
    </row>
    <row r="19" spans="1:9" x14ac:dyDescent="0.25">
      <c r="A19" s="142" t="s">
        <v>85</v>
      </c>
      <c r="B19" s="132" t="s">
        <v>523</v>
      </c>
      <c r="C19" s="83" t="s">
        <v>504</v>
      </c>
      <c r="D19" s="83" t="s">
        <v>504</v>
      </c>
      <c r="E19" s="83" t="s">
        <v>504</v>
      </c>
      <c r="F19" s="83" t="s">
        <v>503</v>
      </c>
      <c r="G19" s="83" t="s">
        <v>503</v>
      </c>
      <c r="H19" s="83" t="s">
        <v>503</v>
      </c>
      <c r="I19" s="144" t="s">
        <v>503</v>
      </c>
    </row>
    <row r="20" spans="1:9" ht="38.25" x14ac:dyDescent="0.25">
      <c r="A20" s="142" t="s">
        <v>104</v>
      </c>
      <c r="B20" s="133" t="s">
        <v>524</v>
      </c>
      <c r="C20" s="83" t="s">
        <v>504</v>
      </c>
      <c r="D20" s="83" t="s">
        <v>504</v>
      </c>
      <c r="E20" s="83" t="s">
        <v>504</v>
      </c>
      <c r="F20" s="83" t="s">
        <v>503</v>
      </c>
      <c r="G20" s="83" t="s">
        <v>503</v>
      </c>
      <c r="H20" s="83" t="s">
        <v>503</v>
      </c>
      <c r="I20" s="144" t="s">
        <v>503</v>
      </c>
    </row>
    <row r="21" spans="1:9" ht="38.25" x14ac:dyDescent="0.25">
      <c r="A21" s="142" t="s">
        <v>92</v>
      </c>
      <c r="B21" s="133" t="s">
        <v>525</v>
      </c>
      <c r="C21" s="83" t="s">
        <v>504</v>
      </c>
      <c r="D21" s="83" t="s">
        <v>503</v>
      </c>
      <c r="E21" s="83"/>
      <c r="F21" s="83" t="s">
        <v>503</v>
      </c>
      <c r="G21" s="83" t="s">
        <v>504</v>
      </c>
      <c r="H21" s="83" t="s">
        <v>503</v>
      </c>
      <c r="I21" s="144" t="s">
        <v>503</v>
      </c>
    </row>
    <row r="22" spans="1:9" x14ac:dyDescent="0.25">
      <c r="A22" s="142" t="s">
        <v>168</v>
      </c>
      <c r="B22" s="132" t="s">
        <v>526</v>
      </c>
      <c r="C22" s="83" t="s">
        <v>503</v>
      </c>
      <c r="D22" s="83" t="s">
        <v>503</v>
      </c>
      <c r="E22" s="83"/>
      <c r="F22" s="83" t="s">
        <v>504</v>
      </c>
      <c r="G22" s="83" t="s">
        <v>504</v>
      </c>
      <c r="H22" s="83" t="s">
        <v>503</v>
      </c>
      <c r="I22" s="144" t="s">
        <v>503</v>
      </c>
    </row>
    <row r="23" spans="1:9" x14ac:dyDescent="0.25">
      <c r="A23" s="142" t="s">
        <v>124</v>
      </c>
      <c r="B23" s="132" t="s">
        <v>527</v>
      </c>
      <c r="C23" s="83" t="s">
        <v>503</v>
      </c>
      <c r="D23" s="83" t="s">
        <v>504</v>
      </c>
      <c r="E23" s="83" t="s">
        <v>504</v>
      </c>
      <c r="F23" s="83" t="s">
        <v>504</v>
      </c>
      <c r="G23" s="83" t="s">
        <v>504</v>
      </c>
      <c r="H23" s="83" t="s">
        <v>503</v>
      </c>
      <c r="I23" s="144" t="s">
        <v>503</v>
      </c>
    </row>
    <row r="24" spans="1:9" x14ac:dyDescent="0.25">
      <c r="A24" s="142" t="s">
        <v>117</v>
      </c>
      <c r="B24" s="132" t="s">
        <v>528</v>
      </c>
      <c r="C24" s="83" t="s">
        <v>503</v>
      </c>
      <c r="D24" s="83" t="s">
        <v>504</v>
      </c>
      <c r="E24" s="83" t="s">
        <v>504</v>
      </c>
      <c r="F24" s="83" t="s">
        <v>504</v>
      </c>
      <c r="G24" s="83" t="s">
        <v>503</v>
      </c>
      <c r="H24" s="83" t="s">
        <v>503</v>
      </c>
      <c r="I24" s="144" t="s">
        <v>504</v>
      </c>
    </row>
    <row r="25" spans="1:9" ht="51" x14ac:dyDescent="0.25">
      <c r="A25" s="143" t="s">
        <v>220</v>
      </c>
      <c r="B25" s="133" t="s">
        <v>529</v>
      </c>
      <c r="C25" s="83" t="s">
        <v>503</v>
      </c>
      <c r="D25" s="83" t="s">
        <v>503</v>
      </c>
      <c r="E25" s="83"/>
      <c r="F25" s="83" t="s">
        <v>503</v>
      </c>
      <c r="G25" s="83" t="s">
        <v>503</v>
      </c>
      <c r="H25" s="83" t="s">
        <v>504</v>
      </c>
      <c r="I25" s="144" t="s">
        <v>503</v>
      </c>
    </row>
    <row r="26" spans="1:9" ht="76.5" x14ac:dyDescent="0.25">
      <c r="A26" s="143" t="s">
        <v>223</v>
      </c>
      <c r="B26" s="133" t="s">
        <v>530</v>
      </c>
      <c r="C26" s="83" t="s">
        <v>503</v>
      </c>
      <c r="D26" s="83" t="s">
        <v>503</v>
      </c>
      <c r="E26" s="83"/>
      <c r="F26" s="83" t="s">
        <v>503</v>
      </c>
      <c r="G26" s="83" t="s">
        <v>503</v>
      </c>
      <c r="H26" s="83" t="s">
        <v>504</v>
      </c>
      <c r="I26" s="144" t="s">
        <v>503</v>
      </c>
    </row>
    <row r="27" spans="1:9" ht="127.5" x14ac:dyDescent="0.25">
      <c r="A27" s="143" t="s">
        <v>196</v>
      </c>
      <c r="B27" s="135" t="s">
        <v>531</v>
      </c>
      <c r="C27" s="83" t="s">
        <v>503</v>
      </c>
      <c r="D27" s="83" t="s">
        <v>503</v>
      </c>
      <c r="E27" s="83"/>
      <c r="F27" s="83" t="s">
        <v>503</v>
      </c>
      <c r="G27" s="83" t="s">
        <v>503</v>
      </c>
      <c r="H27" s="83" t="s">
        <v>504</v>
      </c>
      <c r="I27" s="144" t="s">
        <v>503</v>
      </c>
    </row>
    <row r="28" spans="1:9" ht="76.5" x14ac:dyDescent="0.25">
      <c r="A28" s="143" t="s">
        <v>199</v>
      </c>
      <c r="B28" s="136" t="s">
        <v>532</v>
      </c>
      <c r="C28" s="83" t="s">
        <v>503</v>
      </c>
      <c r="D28" s="83" t="s">
        <v>503</v>
      </c>
      <c r="E28" s="83"/>
      <c r="F28" s="83" t="s">
        <v>503</v>
      </c>
      <c r="G28" s="83" t="s">
        <v>503</v>
      </c>
      <c r="H28" s="83" t="s">
        <v>504</v>
      </c>
      <c r="I28" s="144" t="s">
        <v>503</v>
      </c>
    </row>
    <row r="29" spans="1:9" ht="38.25" x14ac:dyDescent="0.25">
      <c r="A29" s="143" t="s">
        <v>202</v>
      </c>
      <c r="B29" s="132" t="s">
        <v>533</v>
      </c>
      <c r="C29" s="83" t="s">
        <v>503</v>
      </c>
      <c r="D29" s="83" t="s">
        <v>503</v>
      </c>
      <c r="E29" s="83"/>
      <c r="F29" s="83" t="s">
        <v>503</v>
      </c>
      <c r="G29" s="83" t="s">
        <v>503</v>
      </c>
      <c r="H29" s="83" t="s">
        <v>504</v>
      </c>
      <c r="I29" s="144" t="s">
        <v>503</v>
      </c>
    </row>
    <row r="30" spans="1:9" ht="76.5" x14ac:dyDescent="0.25">
      <c r="A30" s="143" t="s">
        <v>205</v>
      </c>
      <c r="B30" s="133" t="s">
        <v>534</v>
      </c>
      <c r="C30" s="83" t="s">
        <v>503</v>
      </c>
      <c r="D30" s="83" t="s">
        <v>503</v>
      </c>
      <c r="E30" s="83"/>
      <c r="F30" s="83" t="s">
        <v>503</v>
      </c>
      <c r="G30" s="83" t="s">
        <v>503</v>
      </c>
      <c r="H30" s="83" t="s">
        <v>504</v>
      </c>
      <c r="I30" s="144" t="s">
        <v>503</v>
      </c>
    </row>
    <row r="31" spans="1:9" ht="63.75" x14ac:dyDescent="0.25">
      <c r="A31" s="143" t="s">
        <v>208</v>
      </c>
      <c r="B31" s="133" t="s">
        <v>535</v>
      </c>
      <c r="C31" s="83" t="s">
        <v>503</v>
      </c>
      <c r="D31" s="83" t="s">
        <v>503</v>
      </c>
      <c r="E31" s="83"/>
      <c r="F31" s="83" t="s">
        <v>503</v>
      </c>
      <c r="G31" s="83" t="s">
        <v>503</v>
      </c>
      <c r="H31" s="83" t="s">
        <v>504</v>
      </c>
      <c r="I31" s="144" t="s">
        <v>503</v>
      </c>
    </row>
    <row r="32" spans="1:9" ht="51" x14ac:dyDescent="0.25">
      <c r="A32" s="143" t="s">
        <v>211</v>
      </c>
      <c r="B32" s="133" t="s">
        <v>536</v>
      </c>
      <c r="C32" s="83" t="s">
        <v>503</v>
      </c>
      <c r="D32" s="83" t="s">
        <v>503</v>
      </c>
      <c r="E32" s="83"/>
      <c r="F32" s="83" t="s">
        <v>503</v>
      </c>
      <c r="G32" s="83" t="s">
        <v>503</v>
      </c>
      <c r="H32" s="83" t="s">
        <v>504</v>
      </c>
      <c r="I32" s="144" t="s">
        <v>503</v>
      </c>
    </row>
    <row r="33" spans="1:9" ht="25.5" x14ac:dyDescent="0.25">
      <c r="A33" s="143" t="s">
        <v>214</v>
      </c>
      <c r="B33" s="132" t="s">
        <v>537</v>
      </c>
      <c r="C33" s="83" t="s">
        <v>503</v>
      </c>
      <c r="D33" s="83" t="s">
        <v>503</v>
      </c>
      <c r="E33" s="83"/>
      <c r="F33" s="83" t="s">
        <v>503</v>
      </c>
      <c r="G33" s="83" t="s">
        <v>503</v>
      </c>
      <c r="H33" s="83" t="s">
        <v>504</v>
      </c>
      <c r="I33" s="144" t="s">
        <v>503</v>
      </c>
    </row>
    <row r="34" spans="1:9" ht="51" x14ac:dyDescent="0.25">
      <c r="A34" s="143" t="s">
        <v>217</v>
      </c>
      <c r="B34" s="133" t="s">
        <v>538</v>
      </c>
      <c r="C34" s="83" t="s">
        <v>503</v>
      </c>
      <c r="D34" s="83" t="s">
        <v>503</v>
      </c>
      <c r="E34" s="83"/>
      <c r="F34" s="83" t="s">
        <v>503</v>
      </c>
      <c r="G34" s="83" t="s">
        <v>503</v>
      </c>
      <c r="H34" s="83" t="s">
        <v>504</v>
      </c>
      <c r="I34" s="144" t="s">
        <v>503</v>
      </c>
    </row>
    <row r="35" spans="1:9" ht="38.25" x14ac:dyDescent="0.25">
      <c r="A35" s="143" t="s">
        <v>136</v>
      </c>
      <c r="B35" s="132" t="s">
        <v>539</v>
      </c>
      <c r="C35" s="83" t="s">
        <v>503</v>
      </c>
      <c r="D35" s="83" t="s">
        <v>504</v>
      </c>
      <c r="E35" s="83" t="s">
        <v>504</v>
      </c>
      <c r="F35" s="83" t="s">
        <v>504</v>
      </c>
      <c r="G35" s="83" t="s">
        <v>504</v>
      </c>
      <c r="H35" s="83" t="s">
        <v>503</v>
      </c>
      <c r="I35" s="144" t="s">
        <v>504</v>
      </c>
    </row>
    <row r="36" spans="1:9" ht="25.5" x14ac:dyDescent="0.25">
      <c r="A36" s="143" t="s">
        <v>150</v>
      </c>
      <c r="B36" s="133" t="s">
        <v>540</v>
      </c>
      <c r="C36" s="83" t="s">
        <v>503</v>
      </c>
      <c r="D36" s="83" t="s">
        <v>504</v>
      </c>
      <c r="E36" s="83" t="s">
        <v>504</v>
      </c>
      <c r="F36" s="83" t="s">
        <v>504</v>
      </c>
      <c r="G36" s="83" t="s">
        <v>504</v>
      </c>
      <c r="H36" s="83" t="s">
        <v>503</v>
      </c>
      <c r="I36" s="144" t="s">
        <v>503</v>
      </c>
    </row>
    <row r="37" spans="1:9" ht="38.25" x14ac:dyDescent="0.25">
      <c r="A37" s="142" t="s">
        <v>154</v>
      </c>
      <c r="B37" s="137" t="s">
        <v>541</v>
      </c>
      <c r="C37" s="83" t="s">
        <v>503</v>
      </c>
      <c r="D37" s="83" t="s">
        <v>504</v>
      </c>
      <c r="E37" s="83" t="s">
        <v>504</v>
      </c>
      <c r="F37" s="83" t="s">
        <v>504</v>
      </c>
      <c r="G37" s="83" t="s">
        <v>504</v>
      </c>
      <c r="H37" s="83" t="s">
        <v>503</v>
      </c>
      <c r="I37" s="144" t="s">
        <v>504</v>
      </c>
    </row>
    <row r="38" spans="1:9" ht="38.25" x14ac:dyDescent="0.25">
      <c r="A38" s="142" t="s">
        <v>100</v>
      </c>
      <c r="B38" s="132" t="s">
        <v>542</v>
      </c>
      <c r="C38" s="83" t="s">
        <v>504</v>
      </c>
      <c r="D38" s="83" t="s">
        <v>504</v>
      </c>
      <c r="E38" s="83" t="s">
        <v>504</v>
      </c>
      <c r="F38" s="83" t="s">
        <v>503</v>
      </c>
      <c r="G38" s="83" t="s">
        <v>503</v>
      </c>
      <c r="H38" s="83" t="s">
        <v>503</v>
      </c>
      <c r="I38" s="144" t="s">
        <v>503</v>
      </c>
    </row>
    <row r="39" spans="1:9" ht="38.25" x14ac:dyDescent="0.25">
      <c r="A39" s="142" t="s">
        <v>184</v>
      </c>
      <c r="B39" s="132" t="s">
        <v>543</v>
      </c>
      <c r="C39" s="83" t="s">
        <v>503</v>
      </c>
      <c r="D39" s="83" t="s">
        <v>503</v>
      </c>
      <c r="E39" s="83"/>
      <c r="F39" s="83" t="s">
        <v>503</v>
      </c>
      <c r="G39" s="83" t="s">
        <v>504</v>
      </c>
      <c r="H39" s="83" t="s">
        <v>503</v>
      </c>
      <c r="I39" s="144" t="s">
        <v>503</v>
      </c>
    </row>
    <row r="40" spans="1:9" x14ac:dyDescent="0.25">
      <c r="A40" s="142" t="s">
        <v>129</v>
      </c>
      <c r="B40" s="132" t="s">
        <v>544</v>
      </c>
      <c r="C40" s="83" t="s">
        <v>503</v>
      </c>
      <c r="D40" s="83" t="s">
        <v>504</v>
      </c>
      <c r="E40" s="83" t="s">
        <v>504</v>
      </c>
      <c r="F40" s="83" t="s">
        <v>503</v>
      </c>
      <c r="G40" s="83" t="s">
        <v>503</v>
      </c>
      <c r="H40" s="83" t="s">
        <v>503</v>
      </c>
      <c r="I40" s="144" t="s">
        <v>503</v>
      </c>
    </row>
    <row r="41" spans="1:9" x14ac:dyDescent="0.25">
      <c r="A41" s="142" t="s">
        <v>96</v>
      </c>
      <c r="B41" s="132" t="s">
        <v>545</v>
      </c>
      <c r="C41" s="83" t="s">
        <v>504</v>
      </c>
      <c r="D41" s="83" t="s">
        <v>504</v>
      </c>
      <c r="E41" s="83" t="s">
        <v>504</v>
      </c>
      <c r="F41" s="83" t="s">
        <v>504</v>
      </c>
      <c r="G41" s="83" t="s">
        <v>504</v>
      </c>
      <c r="H41" s="83" t="s">
        <v>503</v>
      </c>
      <c r="I41" s="144" t="s">
        <v>504</v>
      </c>
    </row>
    <row r="42" spans="1:9" ht="51" x14ac:dyDescent="0.25">
      <c r="A42" s="142" t="s">
        <v>89</v>
      </c>
      <c r="B42" s="133" t="s">
        <v>546</v>
      </c>
      <c r="C42" s="83" t="s">
        <v>504</v>
      </c>
      <c r="D42" s="83" t="s">
        <v>504</v>
      </c>
      <c r="E42" s="83" t="s">
        <v>504</v>
      </c>
      <c r="F42" s="83" t="s">
        <v>504</v>
      </c>
      <c r="G42" s="83" t="s">
        <v>504</v>
      </c>
      <c r="H42" s="83" t="s">
        <v>503</v>
      </c>
      <c r="I42" s="144" t="s">
        <v>504</v>
      </c>
    </row>
    <row r="43" spans="1:9" ht="25.5" x14ac:dyDescent="0.25">
      <c r="A43" s="142" t="s">
        <v>164</v>
      </c>
      <c r="B43" s="132" t="s">
        <v>547</v>
      </c>
      <c r="C43" s="83" t="s">
        <v>503</v>
      </c>
      <c r="D43" s="83" t="s">
        <v>503</v>
      </c>
      <c r="E43" s="83"/>
      <c r="F43" s="83" t="s">
        <v>504</v>
      </c>
      <c r="G43" s="83" t="s">
        <v>504</v>
      </c>
      <c r="H43" s="83" t="s">
        <v>503</v>
      </c>
      <c r="I43" s="144" t="s">
        <v>504</v>
      </c>
    </row>
    <row r="44" spans="1:9" x14ac:dyDescent="0.25">
      <c r="A44" s="143" t="s">
        <v>139</v>
      </c>
      <c r="B44" s="132" t="s">
        <v>548</v>
      </c>
      <c r="C44" s="83" t="s">
        <v>503</v>
      </c>
      <c r="D44" s="83" t="s">
        <v>504</v>
      </c>
      <c r="E44" s="83" t="s">
        <v>504</v>
      </c>
      <c r="F44" s="83" t="s">
        <v>503</v>
      </c>
      <c r="G44" s="83" t="s">
        <v>503</v>
      </c>
      <c r="H44" s="83" t="s">
        <v>503</v>
      </c>
      <c r="I44" s="144" t="s">
        <v>503</v>
      </c>
    </row>
    <row r="45" spans="1:9" ht="38.25" x14ac:dyDescent="0.25">
      <c r="A45" s="142" t="s">
        <v>114</v>
      </c>
      <c r="B45" s="133" t="s">
        <v>549</v>
      </c>
      <c r="C45" s="83" t="s">
        <v>503</v>
      </c>
      <c r="D45" s="83" t="s">
        <v>504</v>
      </c>
      <c r="E45" s="83" t="s">
        <v>504</v>
      </c>
      <c r="F45" s="83" t="s">
        <v>504</v>
      </c>
      <c r="G45" s="83" t="s">
        <v>503</v>
      </c>
      <c r="H45" s="83" t="s">
        <v>503</v>
      </c>
      <c r="I45" s="144" t="s">
        <v>504</v>
      </c>
    </row>
    <row r="46" spans="1:9" x14ac:dyDescent="0.25">
      <c r="A46" s="142" t="s">
        <v>179</v>
      </c>
      <c r="B46" s="59" t="s">
        <v>550</v>
      </c>
      <c r="C46" s="141" t="s">
        <v>503</v>
      </c>
      <c r="D46" s="141" t="s">
        <v>503</v>
      </c>
      <c r="E46" s="141"/>
      <c r="F46" s="141" t="s">
        <v>504</v>
      </c>
      <c r="G46" s="141" t="s">
        <v>503</v>
      </c>
      <c r="H46" s="141" t="s">
        <v>503</v>
      </c>
      <c r="I46" s="144" t="s">
        <v>503</v>
      </c>
    </row>
  </sheetData>
  <conditionalFormatting sqref="C3:I46">
    <cfRule type="cellIs" dxfId="12" priority="3" operator="equal">
      <formula>"Y"</formula>
    </cfRule>
    <cfRule type="cellIs" dxfId="11" priority="4" operator="equal">
      <formula>"N"</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number xmlns="07131ad8-d300-41d6-ae9b-84ff0ea81d3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7EFFE1846B464E95B219ECEF7374D9" ma:contentTypeVersion="13" ma:contentTypeDescription="Create a new document." ma:contentTypeScope="" ma:versionID="7233b4ae2fd9a46c5e04e85682134a82">
  <xsd:schema xmlns:xsd="http://www.w3.org/2001/XMLSchema" xmlns:xs="http://www.w3.org/2001/XMLSchema" xmlns:p="http://schemas.microsoft.com/office/2006/metadata/properties" xmlns:ns2="07131ad8-d300-41d6-ae9b-84ff0ea81d34" xmlns:ns3="782b7c62-1346-4312-987c-b8f371569bb0" targetNamespace="http://schemas.microsoft.com/office/2006/metadata/properties" ma:root="true" ma:fieldsID="e5600cc95de9b9d513b0330690e2ced3" ns2:_="" ns3:_="">
    <xsd:import namespace="07131ad8-d300-41d6-ae9b-84ff0ea81d34"/>
    <xsd:import namespace="782b7c62-1346-4312-987c-b8f371569bb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2:numb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131ad8-d300-41d6-ae9b-84ff0ea81d3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number" ma:index="20" nillable="true" ma:displayName="number" ma:format="Dropdown" ma:internalName="numb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782b7c62-1346-4312-987c-b8f371569bb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AA3ED9-1551-4EF3-B8EE-E7C1F0A4ABC1}">
  <ds:schemaRefs>
    <ds:schemaRef ds:uri="http://schemas.microsoft.com/office/2006/metadata/properties"/>
    <ds:schemaRef ds:uri="http://schemas.microsoft.com/office/infopath/2007/PartnerControls"/>
    <ds:schemaRef ds:uri="07131ad8-d300-41d6-ae9b-84ff0ea81d34"/>
  </ds:schemaRefs>
</ds:datastoreItem>
</file>

<file path=customXml/itemProps2.xml><?xml version="1.0" encoding="utf-8"?>
<ds:datastoreItem xmlns:ds="http://schemas.openxmlformats.org/officeDocument/2006/customXml" ds:itemID="{3D29DB32-8B70-4904-BE4D-E04EC12CD219}">
  <ds:schemaRefs>
    <ds:schemaRef ds:uri="http://schemas.microsoft.com/sharepoint/v3/contenttype/forms"/>
  </ds:schemaRefs>
</ds:datastoreItem>
</file>

<file path=customXml/itemProps3.xml><?xml version="1.0" encoding="utf-8"?>
<ds:datastoreItem xmlns:ds="http://schemas.openxmlformats.org/officeDocument/2006/customXml" ds:itemID="{B39785AD-8F55-4153-9F83-A9438E4318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131ad8-d300-41d6-ae9b-84ff0ea81d34"/>
    <ds:schemaRef ds:uri="782b7c62-1346-4312-987c-b8f371569b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233</vt:i4>
      </vt:variant>
    </vt:vector>
  </HeadingPairs>
  <TitlesOfParts>
    <vt:vector size="261" baseType="lpstr">
      <vt:lpstr>Instructions</vt:lpstr>
      <vt:lpstr>General Information</vt:lpstr>
      <vt:lpstr>End User Devices BSRs (L)</vt:lpstr>
      <vt:lpstr>Server BSRs (L)</vt:lpstr>
      <vt:lpstr>Application BSRs (L)</vt:lpstr>
      <vt:lpstr>Saas - PaaS BSRs (L)</vt:lpstr>
      <vt:lpstr>Network Security BSRs (L)</vt:lpstr>
      <vt:lpstr>End User Devices BSRs (M)</vt:lpstr>
      <vt:lpstr>Server BSRs (M)</vt:lpstr>
      <vt:lpstr>Application BSRs (M)</vt:lpstr>
      <vt:lpstr>Saas - PaaS BSRs (M)</vt:lpstr>
      <vt:lpstr>Network Security BSRs (M)</vt:lpstr>
      <vt:lpstr>Software Development BSRs (M)</vt:lpstr>
      <vt:lpstr>Server BSRs (H)</vt:lpstr>
      <vt:lpstr>End User Devices BSRs (H)</vt:lpstr>
      <vt:lpstr>Variables</vt:lpstr>
      <vt:lpstr>Data Processing</vt:lpstr>
      <vt:lpstr>Application BSRs (H)</vt:lpstr>
      <vt:lpstr>Saas - PaaS BSRs (H)</vt:lpstr>
      <vt:lpstr>Network Security BSRs (H)</vt:lpstr>
      <vt:lpstr>Software Development BSRs (L)</vt:lpstr>
      <vt:lpstr>Autonomous Devices (H)</vt:lpstr>
      <vt:lpstr>Autonomous Devices (M)</vt:lpstr>
      <vt:lpstr>Autonomous Devices (L)</vt:lpstr>
      <vt:lpstr>Pattern</vt:lpstr>
      <vt:lpstr>Revision</vt:lpstr>
      <vt:lpstr>Software Development BSRs (H)</vt:lpstr>
      <vt:lpstr>Control Sheet</vt:lpstr>
      <vt:lpstr>'Control Sheet'!_FilterDatabase</vt:lpstr>
      <vt:lpstr>ApplicationTab</vt:lpstr>
      <vt:lpstr>ApplicationTotalH1</vt:lpstr>
      <vt:lpstr>ApplicationTotalH10</vt:lpstr>
      <vt:lpstr>ApplicationTotalH2</vt:lpstr>
      <vt:lpstr>ApplicationTotalH3</vt:lpstr>
      <vt:lpstr>ApplicationTotalH4</vt:lpstr>
      <vt:lpstr>ApplicationTotalH5</vt:lpstr>
      <vt:lpstr>ApplicationTotalH6</vt:lpstr>
      <vt:lpstr>ApplicationTotalH7</vt:lpstr>
      <vt:lpstr>ApplicationTotalH8</vt:lpstr>
      <vt:lpstr>ApplicationTotalH9</vt:lpstr>
      <vt:lpstr>ApplicationTotalL1</vt:lpstr>
      <vt:lpstr>ApplicationTotalL10</vt:lpstr>
      <vt:lpstr>ApplicationTotalL2</vt:lpstr>
      <vt:lpstr>ApplicationTotalL3</vt:lpstr>
      <vt:lpstr>ApplicationTotalL4</vt:lpstr>
      <vt:lpstr>ApplicationTotalL5</vt:lpstr>
      <vt:lpstr>ApplicationTotalL6</vt:lpstr>
      <vt:lpstr>ApplicationTotalL7</vt:lpstr>
      <vt:lpstr>ApplicationTotalL8</vt:lpstr>
      <vt:lpstr>ApplicationTotalL9</vt:lpstr>
      <vt:lpstr>ApplicationTotalM1</vt:lpstr>
      <vt:lpstr>ApplicationTotalM10</vt:lpstr>
      <vt:lpstr>ApplicationTotalM2</vt:lpstr>
      <vt:lpstr>ApplicationTotalM3</vt:lpstr>
      <vt:lpstr>ApplicationTotalM4</vt:lpstr>
      <vt:lpstr>ApplicationTotalM5</vt:lpstr>
      <vt:lpstr>ApplicationTotalM6</vt:lpstr>
      <vt:lpstr>ApplicationTotalM7</vt:lpstr>
      <vt:lpstr>ApplicationTotalM8</vt:lpstr>
      <vt:lpstr>ApplicationTotalM9</vt:lpstr>
      <vt:lpstr>AutonomousTab</vt:lpstr>
      <vt:lpstr>AutonomousTotalH1</vt:lpstr>
      <vt:lpstr>AutonomousTotalH10</vt:lpstr>
      <vt:lpstr>AutonomousTotalH2</vt:lpstr>
      <vt:lpstr>AutonomousTotalH3</vt:lpstr>
      <vt:lpstr>AutonomousTotalH4</vt:lpstr>
      <vt:lpstr>AutonomousTotalH5</vt:lpstr>
      <vt:lpstr>AutonomousTotalH6</vt:lpstr>
      <vt:lpstr>AutonomousTotalH7</vt:lpstr>
      <vt:lpstr>AutonomousTotalH8</vt:lpstr>
      <vt:lpstr>AutonomousTotalH9</vt:lpstr>
      <vt:lpstr>AutonomousTotalL1</vt:lpstr>
      <vt:lpstr>AutonomousTotalL10</vt:lpstr>
      <vt:lpstr>AutonomousTotalL2</vt:lpstr>
      <vt:lpstr>AutonomousTotalL3</vt:lpstr>
      <vt:lpstr>AutonomousTotalL4</vt:lpstr>
      <vt:lpstr>AutonomousTotalL5</vt:lpstr>
      <vt:lpstr>AutonomousTotalL6</vt:lpstr>
      <vt:lpstr>AutonomousTotalL7</vt:lpstr>
      <vt:lpstr>AutonomousTotalL8</vt:lpstr>
      <vt:lpstr>AutonomousTotalL9</vt:lpstr>
      <vt:lpstr>AutonomousTotalM1</vt:lpstr>
      <vt:lpstr>AutonomousTotalM10</vt:lpstr>
      <vt:lpstr>AutonomousTotalM2</vt:lpstr>
      <vt:lpstr>AutonomousTotalM3</vt:lpstr>
      <vt:lpstr>AutonomousTotalM4</vt:lpstr>
      <vt:lpstr>AutonomousTotalM5</vt:lpstr>
      <vt:lpstr>AutonomousTotalM6</vt:lpstr>
      <vt:lpstr>AutonomousTotalM7</vt:lpstr>
      <vt:lpstr>AutonomousTotalM8</vt:lpstr>
      <vt:lpstr>AutonomousTotalM9</vt:lpstr>
      <vt:lpstr>Availability</vt:lpstr>
      <vt:lpstr>Classification</vt:lpstr>
      <vt:lpstr>ClassificationLMH</vt:lpstr>
      <vt:lpstr>CompletedRequirements</vt:lpstr>
      <vt:lpstr>Complexity</vt:lpstr>
      <vt:lpstr>Confidentiality</vt:lpstr>
      <vt:lpstr>EndUserTab</vt:lpstr>
      <vt:lpstr>EndUserTotalH1</vt:lpstr>
      <vt:lpstr>EndUserTotalH10</vt:lpstr>
      <vt:lpstr>EndUserTotalH2</vt:lpstr>
      <vt:lpstr>EndUserTotalH3</vt:lpstr>
      <vt:lpstr>EndUserTotalH4</vt:lpstr>
      <vt:lpstr>EndUserTotalH5</vt:lpstr>
      <vt:lpstr>EndUserTotalH6</vt:lpstr>
      <vt:lpstr>EndUserTotalH7</vt:lpstr>
      <vt:lpstr>EndUserTotalH8</vt:lpstr>
      <vt:lpstr>EndUserTotalH9</vt:lpstr>
      <vt:lpstr>EndUserTotalL1</vt:lpstr>
      <vt:lpstr>EndUserTotalL10</vt:lpstr>
      <vt:lpstr>EndUserTotalL2</vt:lpstr>
      <vt:lpstr>EndUserTotalL3</vt:lpstr>
      <vt:lpstr>EndUserTotalL4</vt:lpstr>
      <vt:lpstr>EndUserTotalL5</vt:lpstr>
      <vt:lpstr>EndUserTotalL6</vt:lpstr>
      <vt:lpstr>EndUserTotalL7</vt:lpstr>
      <vt:lpstr>EndUserTotalL8</vt:lpstr>
      <vt:lpstr>EndUserTotalL9</vt:lpstr>
      <vt:lpstr>EndUserTotalM1</vt:lpstr>
      <vt:lpstr>EndUserTotalM10</vt:lpstr>
      <vt:lpstr>EndUserTotalM2</vt:lpstr>
      <vt:lpstr>EndUserTotalM3</vt:lpstr>
      <vt:lpstr>EndUserTotalM4</vt:lpstr>
      <vt:lpstr>EndUserTotalM5</vt:lpstr>
      <vt:lpstr>EndUserTotalM6</vt:lpstr>
      <vt:lpstr>EndUserTotalM7</vt:lpstr>
      <vt:lpstr>EndUserTotalM8</vt:lpstr>
      <vt:lpstr>EndUserTotalM9</vt:lpstr>
      <vt:lpstr>Integrity</vt:lpstr>
      <vt:lpstr>NetworkTab</vt:lpstr>
      <vt:lpstr>NetworkTotalH1</vt:lpstr>
      <vt:lpstr>NetworkTotalH10</vt:lpstr>
      <vt:lpstr>NetworkTotalH2</vt:lpstr>
      <vt:lpstr>NetworkTotalH3</vt:lpstr>
      <vt:lpstr>NetworkTotalH4</vt:lpstr>
      <vt:lpstr>NetworkTotalH5</vt:lpstr>
      <vt:lpstr>NetworkTotalH6</vt:lpstr>
      <vt:lpstr>NetworkTotalH7</vt:lpstr>
      <vt:lpstr>NetworkTotalH8</vt:lpstr>
      <vt:lpstr>NetworkTotalH9</vt:lpstr>
      <vt:lpstr>NetworkTotalL1</vt:lpstr>
      <vt:lpstr>NetworkTotalL10</vt:lpstr>
      <vt:lpstr>NetworkTotalL2</vt:lpstr>
      <vt:lpstr>NetworkTotalL3</vt:lpstr>
      <vt:lpstr>NetworkTotalL4</vt:lpstr>
      <vt:lpstr>NetworkTotalL5</vt:lpstr>
      <vt:lpstr>NetworkTotalL6</vt:lpstr>
      <vt:lpstr>NetworkTotalL7</vt:lpstr>
      <vt:lpstr>NetworkTotalL8</vt:lpstr>
      <vt:lpstr>NetworkTotalL9</vt:lpstr>
      <vt:lpstr>NetworkTotalM1</vt:lpstr>
      <vt:lpstr>NetworkTotalM10</vt:lpstr>
      <vt:lpstr>NetworkTotalM2</vt:lpstr>
      <vt:lpstr>NetworkTotalM3</vt:lpstr>
      <vt:lpstr>NetworkTotalM4</vt:lpstr>
      <vt:lpstr>NetworkTotalM5</vt:lpstr>
      <vt:lpstr>NetworkTotalM6</vt:lpstr>
      <vt:lpstr>NetworkTotalM7</vt:lpstr>
      <vt:lpstr>NetworkTotalM8</vt:lpstr>
      <vt:lpstr>NetworkTotalM9</vt:lpstr>
      <vt:lpstr>RequirementsInProgress</vt:lpstr>
      <vt:lpstr>RequirementsNA</vt:lpstr>
      <vt:lpstr>RequirementsNotStarted</vt:lpstr>
      <vt:lpstr>RisksInProgress</vt:lpstr>
      <vt:lpstr>RisksNA</vt:lpstr>
      <vt:lpstr>RisksRegistered</vt:lpstr>
      <vt:lpstr>RisksTBC</vt:lpstr>
      <vt:lpstr>SaaSTab</vt:lpstr>
      <vt:lpstr>SaaSTotalH1</vt:lpstr>
      <vt:lpstr>SaaSTotalH10</vt:lpstr>
      <vt:lpstr>SaaSTotalH2</vt:lpstr>
      <vt:lpstr>SaaSTotalH3</vt:lpstr>
      <vt:lpstr>SaaSTotalH4</vt:lpstr>
      <vt:lpstr>SaaSTotalH5</vt:lpstr>
      <vt:lpstr>SaaSTotalH6</vt:lpstr>
      <vt:lpstr>SaaSTotalH7</vt:lpstr>
      <vt:lpstr>SaaSTotalH8</vt:lpstr>
      <vt:lpstr>SaaSTotalH9</vt:lpstr>
      <vt:lpstr>SaaSTotalL1</vt:lpstr>
      <vt:lpstr>SaaSTotalL10</vt:lpstr>
      <vt:lpstr>SaaSTotalL2</vt:lpstr>
      <vt:lpstr>SaaSTotalL3</vt:lpstr>
      <vt:lpstr>SaaSTotalL4</vt:lpstr>
      <vt:lpstr>SaaSTotalL5</vt:lpstr>
      <vt:lpstr>SaaSTotalL6</vt:lpstr>
      <vt:lpstr>SaaSTotalL7</vt:lpstr>
      <vt:lpstr>SaaSTotalL8</vt:lpstr>
      <vt:lpstr>SaaSTotalL9</vt:lpstr>
      <vt:lpstr>SaaSTotalM1</vt:lpstr>
      <vt:lpstr>SaaSTotalM10</vt:lpstr>
      <vt:lpstr>SaaSTotalM2</vt:lpstr>
      <vt:lpstr>SaaSTotalM3</vt:lpstr>
      <vt:lpstr>SaaSTotalM4</vt:lpstr>
      <vt:lpstr>SaaSTotalM5</vt:lpstr>
      <vt:lpstr>SaaSTotalM6</vt:lpstr>
      <vt:lpstr>SaaSTotalM7</vt:lpstr>
      <vt:lpstr>SaaSTotalM8</vt:lpstr>
      <vt:lpstr>SaaSTotalM9</vt:lpstr>
      <vt:lpstr>ServerTab</vt:lpstr>
      <vt:lpstr>ServerTotalH1</vt:lpstr>
      <vt:lpstr>ServerTotalH10</vt:lpstr>
      <vt:lpstr>ServerTotalH2</vt:lpstr>
      <vt:lpstr>ServerTotalH3</vt:lpstr>
      <vt:lpstr>ServerTotalH4</vt:lpstr>
      <vt:lpstr>ServerTotalH5</vt:lpstr>
      <vt:lpstr>ServerTotalH6</vt:lpstr>
      <vt:lpstr>ServerTotalH7</vt:lpstr>
      <vt:lpstr>ServerTotalH8</vt:lpstr>
      <vt:lpstr>ServerTotalH9</vt:lpstr>
      <vt:lpstr>ServerTotalL1</vt:lpstr>
      <vt:lpstr>ServerTotalL10</vt:lpstr>
      <vt:lpstr>ServerTotalL2</vt:lpstr>
      <vt:lpstr>ServerTotalL3</vt:lpstr>
      <vt:lpstr>ServerTotalL4</vt:lpstr>
      <vt:lpstr>ServerTotalL5</vt:lpstr>
      <vt:lpstr>ServerTotalL6</vt:lpstr>
      <vt:lpstr>ServerTotalL7</vt:lpstr>
      <vt:lpstr>ServerTotalL8</vt:lpstr>
      <vt:lpstr>ServerTotalL9</vt:lpstr>
      <vt:lpstr>ServerTotalM1</vt:lpstr>
      <vt:lpstr>ServerTotalM10</vt:lpstr>
      <vt:lpstr>ServerTotalM2</vt:lpstr>
      <vt:lpstr>ServerTotalM3</vt:lpstr>
      <vt:lpstr>ServerTotalM4</vt:lpstr>
      <vt:lpstr>ServerTotalM5</vt:lpstr>
      <vt:lpstr>ServerTotalM6</vt:lpstr>
      <vt:lpstr>ServerTotalM7</vt:lpstr>
      <vt:lpstr>ServerTotalM8</vt:lpstr>
      <vt:lpstr>ServerTotalM9</vt:lpstr>
      <vt:lpstr>SoftwareTab</vt:lpstr>
      <vt:lpstr>SoftwareTotalH1</vt:lpstr>
      <vt:lpstr>SoftwareTotalH10</vt:lpstr>
      <vt:lpstr>SoftwareTotalH2</vt:lpstr>
      <vt:lpstr>SoftwareTotalH3</vt:lpstr>
      <vt:lpstr>SoftwareTotalH4</vt:lpstr>
      <vt:lpstr>SoftwareTotalH5</vt:lpstr>
      <vt:lpstr>SoftwareTotalH6</vt:lpstr>
      <vt:lpstr>SoftwareTotalH7</vt:lpstr>
      <vt:lpstr>SoftwareTotalH8</vt:lpstr>
      <vt:lpstr>SoftwareTotalH9</vt:lpstr>
      <vt:lpstr>SoftwareTotalL1</vt:lpstr>
      <vt:lpstr>SoftwareTotalL10</vt:lpstr>
      <vt:lpstr>SoftwareTotalL2</vt:lpstr>
      <vt:lpstr>SoftwareTotalL3</vt:lpstr>
      <vt:lpstr>SoftwareTotalL4</vt:lpstr>
      <vt:lpstr>SoftwareTotalL5</vt:lpstr>
      <vt:lpstr>SoftwareTotalL6</vt:lpstr>
      <vt:lpstr>SoftwareTotalL7</vt:lpstr>
      <vt:lpstr>SoftwareTotalL8</vt:lpstr>
      <vt:lpstr>SoftwareTotalL9</vt:lpstr>
      <vt:lpstr>SoftwareTotalM1</vt:lpstr>
      <vt:lpstr>SoftwareTotalM10</vt:lpstr>
      <vt:lpstr>SoftwareTotalM2</vt:lpstr>
      <vt:lpstr>SoftwareTotalM3</vt:lpstr>
      <vt:lpstr>SoftwareTotalM4</vt:lpstr>
      <vt:lpstr>SoftwareTotalM5</vt:lpstr>
      <vt:lpstr>SoftwareTotalM6</vt:lpstr>
      <vt:lpstr>SoftwareTotalM7</vt:lpstr>
      <vt:lpstr>SoftwareTotalM8</vt:lpstr>
      <vt:lpstr>SoftwareTotalM9</vt:lpstr>
      <vt:lpstr>TotalRequirements</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Barshteyn, Igor</cp:lastModifiedBy>
  <cp:revision/>
  <dcterms:created xsi:type="dcterms:W3CDTF">2015-01-08T10:06:40Z</dcterms:created>
  <dcterms:modified xsi:type="dcterms:W3CDTF">2021-01-20T19:29:31Z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0x010100D77EFFE1846B464E95B219ECEF7374D9</vt:lpwstr>
  </property>
</Properties>
</file>